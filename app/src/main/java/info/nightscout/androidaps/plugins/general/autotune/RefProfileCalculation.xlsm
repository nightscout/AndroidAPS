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4370" windowHeight="12585" activeTab="1"/>
  </bookViews>
  <sheets>
    <sheet name="Profile" sheetId="2" r:id="rId1"/>
    <sheet name="DataSet" sheetId="1" r:id="rId2"/>
    <sheet name="Const" sheetId="3" r:id="rId3"/>
  </sheets>
  <functionGroups builtInGroupCount="17"/>
  <definedNames>
    <definedName name="a">DataSet!#REF!</definedName>
    <definedName name="BasalActivity">DataSet!$G$3:$G$387</definedName>
    <definedName name="BolusActivity">DataSet!$I$3:$I$387</definedName>
    <definedName name="CarbActivity">DataSet!$O$3:$O$387</definedName>
    <definedName name="DIA">Profile!$C$4</definedName>
    <definedName name="Hour">Const!$B$1</definedName>
    <definedName name="MealDuration">Profile!$F$4</definedName>
    <definedName name="MealPeak">Profile!$F$3</definedName>
    <definedName name="Minute">Const!$B$2</definedName>
    <definedName name="Peak">Profile!$C$3</definedName>
    <definedName name="S">DataSet!#REF!</definedName>
    <definedName name="tau">DataSet!#REF!</definedName>
    <definedName name="td">DataSet!#REF!</definedName>
    <definedName name="tp">DataSet!$B$2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4" i="1"/>
  <c r="AI1" i="1"/>
  <c r="J388" i="1"/>
  <c r="H29" i="2"/>
  <c r="H8" i="2"/>
  <c r="H9" i="2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7" i="2"/>
  <c r="C32" i="2"/>
  <c r="C4" i="1"/>
  <c r="J4" i="1" s="1"/>
  <c r="C5" i="1"/>
  <c r="J5" i="1" s="1"/>
  <c r="C6" i="1"/>
  <c r="D6" i="1" s="1"/>
  <c r="C7" i="1"/>
  <c r="J7" i="1" s="1"/>
  <c r="C8" i="1"/>
  <c r="J8" i="1" s="1"/>
  <c r="C9" i="1"/>
  <c r="J9" i="1" s="1"/>
  <c r="C10" i="1"/>
  <c r="J10" i="1" s="1"/>
  <c r="C11" i="1"/>
  <c r="J11" i="1" s="1"/>
  <c r="C12" i="1"/>
  <c r="D12" i="1" s="1"/>
  <c r="C13" i="1"/>
  <c r="D13" i="1" s="1"/>
  <c r="C14" i="1"/>
  <c r="J14" i="1" s="1"/>
  <c r="C15" i="1"/>
  <c r="D15" i="1" s="1"/>
  <c r="C16" i="1"/>
  <c r="J16" i="1" s="1"/>
  <c r="C17" i="1"/>
  <c r="D17" i="1" s="1"/>
  <c r="C18" i="1"/>
  <c r="D18" i="1" s="1"/>
  <c r="C19" i="1"/>
  <c r="J19" i="1" s="1"/>
  <c r="C20" i="1"/>
  <c r="J20" i="1" s="1"/>
  <c r="C21" i="1"/>
  <c r="J21" i="1" s="1"/>
  <c r="C22" i="1"/>
  <c r="J22" i="1" s="1"/>
  <c r="C23" i="1"/>
  <c r="J23" i="1" s="1"/>
  <c r="C24" i="1"/>
  <c r="D24" i="1" s="1"/>
  <c r="C25" i="1"/>
  <c r="J25" i="1" s="1"/>
  <c r="C26" i="1"/>
  <c r="J26" i="1" s="1"/>
  <c r="C27" i="1"/>
  <c r="D27" i="1" s="1"/>
  <c r="C28" i="1"/>
  <c r="J28" i="1" s="1"/>
  <c r="C29" i="1"/>
  <c r="J29" i="1" s="1"/>
  <c r="C30" i="1"/>
  <c r="D30" i="1" s="1"/>
  <c r="C31" i="1"/>
  <c r="J31" i="1" s="1"/>
  <c r="C32" i="1"/>
  <c r="J32" i="1" s="1"/>
  <c r="C33" i="1"/>
  <c r="J33" i="1" s="1"/>
  <c r="C34" i="1"/>
  <c r="J34" i="1" s="1"/>
  <c r="C35" i="1"/>
  <c r="J35" i="1" s="1"/>
  <c r="C36" i="1"/>
  <c r="J36" i="1" s="1"/>
  <c r="C37" i="1"/>
  <c r="D37" i="1" s="1"/>
  <c r="C38" i="1"/>
  <c r="J38" i="1" s="1"/>
  <c r="C39" i="1"/>
  <c r="D39" i="1" s="1"/>
  <c r="C40" i="1"/>
  <c r="J40" i="1" s="1"/>
  <c r="C41" i="1"/>
  <c r="E41" i="1" s="1"/>
  <c r="C42" i="1"/>
  <c r="D42" i="1" s="1"/>
  <c r="C43" i="1"/>
  <c r="J43" i="1" s="1"/>
  <c r="C44" i="1"/>
  <c r="J44" i="1" s="1"/>
  <c r="C45" i="1"/>
  <c r="J45" i="1" s="1"/>
  <c r="C46" i="1"/>
  <c r="J46" i="1" s="1"/>
  <c r="C47" i="1"/>
  <c r="J47" i="1" s="1"/>
  <c r="C48" i="1"/>
  <c r="D48" i="1" s="1"/>
  <c r="C49" i="1"/>
  <c r="D49" i="1" s="1"/>
  <c r="C50" i="1"/>
  <c r="J50" i="1" s="1"/>
  <c r="C51" i="1"/>
  <c r="D51" i="1" s="1"/>
  <c r="C52" i="1"/>
  <c r="J52" i="1" s="1"/>
  <c r="C53" i="1"/>
  <c r="E53" i="1" s="1"/>
  <c r="C54" i="1"/>
  <c r="D54" i="1" s="1"/>
  <c r="C55" i="1"/>
  <c r="J55" i="1" s="1"/>
  <c r="C56" i="1"/>
  <c r="J56" i="1" s="1"/>
  <c r="C57" i="1"/>
  <c r="J57" i="1" s="1"/>
  <c r="C58" i="1"/>
  <c r="J58" i="1" s="1"/>
  <c r="C59" i="1"/>
  <c r="E59" i="1" s="1"/>
  <c r="C60" i="1"/>
  <c r="D60" i="1" s="1"/>
  <c r="C61" i="1"/>
  <c r="E61" i="1" s="1"/>
  <c r="C62" i="1"/>
  <c r="E62" i="1" s="1"/>
  <c r="C63" i="1"/>
  <c r="D63" i="1" s="1"/>
  <c r="C64" i="1"/>
  <c r="J64" i="1" s="1"/>
  <c r="C65" i="1"/>
  <c r="D65" i="1" s="1"/>
  <c r="C66" i="1"/>
  <c r="D66" i="1" s="1"/>
  <c r="C67" i="1"/>
  <c r="J67" i="1" s="1"/>
  <c r="C68" i="1"/>
  <c r="J68" i="1" s="1"/>
  <c r="C69" i="1"/>
  <c r="J69" i="1" s="1"/>
  <c r="C70" i="1"/>
  <c r="J70" i="1" s="1"/>
  <c r="C71" i="1"/>
  <c r="J71" i="1" s="1"/>
  <c r="C72" i="1"/>
  <c r="D72" i="1" s="1"/>
  <c r="C73" i="1"/>
  <c r="D73" i="1" s="1"/>
  <c r="C74" i="1"/>
  <c r="D74" i="1" s="1"/>
  <c r="C75" i="1"/>
  <c r="D75" i="1" s="1"/>
  <c r="C76" i="1"/>
  <c r="J76" i="1" s="1"/>
  <c r="C77" i="1"/>
  <c r="J77" i="1" s="1"/>
  <c r="C78" i="1"/>
  <c r="D78" i="1" s="1"/>
  <c r="C79" i="1"/>
  <c r="J79" i="1" s="1"/>
  <c r="C80" i="1"/>
  <c r="J80" i="1" s="1"/>
  <c r="C81" i="1"/>
  <c r="J81" i="1" s="1"/>
  <c r="C82" i="1"/>
  <c r="J82" i="1" s="1"/>
  <c r="C83" i="1"/>
  <c r="J83" i="1" s="1"/>
  <c r="C84" i="1"/>
  <c r="D84" i="1" s="1"/>
  <c r="C85" i="1"/>
  <c r="D85" i="1" s="1"/>
  <c r="C86" i="1"/>
  <c r="J86" i="1" s="1"/>
  <c r="C87" i="1"/>
  <c r="D87" i="1" s="1"/>
  <c r="C88" i="1"/>
  <c r="J88" i="1" s="1"/>
  <c r="C89" i="1"/>
  <c r="D89" i="1" s="1"/>
  <c r="C90" i="1"/>
  <c r="D90" i="1" s="1"/>
  <c r="C91" i="1"/>
  <c r="J91" i="1" s="1"/>
  <c r="C92" i="1"/>
  <c r="J92" i="1" s="1"/>
  <c r="C93" i="1"/>
  <c r="J93" i="1" s="1"/>
  <c r="C94" i="1"/>
  <c r="J94" i="1" s="1"/>
  <c r="C95" i="1"/>
  <c r="J95" i="1" s="1"/>
  <c r="C96" i="1"/>
  <c r="D96" i="1" s="1"/>
  <c r="C97" i="1"/>
  <c r="J97" i="1" s="1"/>
  <c r="C98" i="1"/>
  <c r="D98" i="1" s="1"/>
  <c r="C99" i="1"/>
  <c r="D99" i="1" s="1"/>
  <c r="C100" i="1"/>
  <c r="J100" i="1" s="1"/>
  <c r="C101" i="1"/>
  <c r="J101" i="1" s="1"/>
  <c r="C102" i="1"/>
  <c r="D102" i="1" s="1"/>
  <c r="C103" i="1"/>
  <c r="J103" i="1" s="1"/>
  <c r="C104" i="1"/>
  <c r="J104" i="1" s="1"/>
  <c r="C105" i="1"/>
  <c r="J105" i="1" s="1"/>
  <c r="C106" i="1"/>
  <c r="J106" i="1" s="1"/>
  <c r="C107" i="1"/>
  <c r="J107" i="1" s="1"/>
  <c r="C108" i="1"/>
  <c r="D108" i="1" s="1"/>
  <c r="C109" i="1"/>
  <c r="D109" i="1" s="1"/>
  <c r="C110" i="1"/>
  <c r="J110" i="1" s="1"/>
  <c r="C111" i="1"/>
  <c r="D111" i="1" s="1"/>
  <c r="C112" i="1"/>
  <c r="J112" i="1" s="1"/>
  <c r="C113" i="1"/>
  <c r="J113" i="1" s="1"/>
  <c r="C114" i="1"/>
  <c r="D114" i="1" s="1"/>
  <c r="C115" i="1"/>
  <c r="J115" i="1" s="1"/>
  <c r="C116" i="1"/>
  <c r="J116" i="1" s="1"/>
  <c r="C117" i="1"/>
  <c r="J117" i="1" s="1"/>
  <c r="C118" i="1"/>
  <c r="J118" i="1" s="1"/>
  <c r="C119" i="1"/>
  <c r="J119" i="1" s="1"/>
  <c r="C120" i="1"/>
  <c r="D120" i="1" s="1"/>
  <c r="C121" i="1"/>
  <c r="D121" i="1" s="1"/>
  <c r="C122" i="1"/>
  <c r="D122" i="1" s="1"/>
  <c r="C123" i="1"/>
  <c r="D123" i="1" s="1"/>
  <c r="C124" i="1"/>
  <c r="J124" i="1" s="1"/>
  <c r="C125" i="1"/>
  <c r="J125" i="1" s="1"/>
  <c r="C126" i="1"/>
  <c r="D126" i="1" s="1"/>
  <c r="C127" i="1"/>
  <c r="J127" i="1" s="1"/>
  <c r="C128" i="1"/>
  <c r="J128" i="1" s="1"/>
  <c r="C129" i="1"/>
  <c r="J129" i="1" s="1"/>
  <c r="C130" i="1"/>
  <c r="J130" i="1" s="1"/>
  <c r="C131" i="1"/>
  <c r="J131" i="1" s="1"/>
  <c r="C132" i="1"/>
  <c r="D132" i="1" s="1"/>
  <c r="C133" i="1"/>
  <c r="D133" i="1" s="1"/>
  <c r="C134" i="1"/>
  <c r="J134" i="1" s="1"/>
  <c r="C135" i="1"/>
  <c r="D135" i="1" s="1"/>
  <c r="C136" i="1"/>
  <c r="J136" i="1" s="1"/>
  <c r="C137" i="1"/>
  <c r="J137" i="1" s="1"/>
  <c r="C138" i="1"/>
  <c r="D138" i="1" s="1"/>
  <c r="C139" i="1"/>
  <c r="J139" i="1" s="1"/>
  <c r="C140" i="1"/>
  <c r="J140" i="1" s="1"/>
  <c r="C141" i="1"/>
  <c r="J141" i="1" s="1"/>
  <c r="C142" i="1"/>
  <c r="J142" i="1" s="1"/>
  <c r="C143" i="1"/>
  <c r="J143" i="1" s="1"/>
  <c r="C144" i="1"/>
  <c r="J144" i="1" s="1"/>
  <c r="C145" i="1"/>
  <c r="J145" i="1" s="1"/>
  <c r="C146" i="1"/>
  <c r="D146" i="1" s="1"/>
  <c r="C147" i="1"/>
  <c r="D147" i="1" s="1"/>
  <c r="C148" i="1"/>
  <c r="J148" i="1" s="1"/>
  <c r="C149" i="1"/>
  <c r="J149" i="1" s="1"/>
  <c r="C150" i="1"/>
  <c r="D150" i="1" s="1"/>
  <c r="C151" i="1"/>
  <c r="J151" i="1" s="1"/>
  <c r="C152" i="1"/>
  <c r="J152" i="1" s="1"/>
  <c r="C153" i="1"/>
  <c r="J153" i="1" s="1"/>
  <c r="C154" i="1"/>
  <c r="J154" i="1" s="1"/>
  <c r="C155" i="1"/>
  <c r="J155" i="1" s="1"/>
  <c r="C156" i="1"/>
  <c r="D156" i="1" s="1"/>
  <c r="C157" i="1"/>
  <c r="D157" i="1" s="1"/>
  <c r="C158" i="1"/>
  <c r="J158" i="1" s="1"/>
  <c r="C159" i="1"/>
  <c r="D159" i="1" s="1"/>
  <c r="C160" i="1"/>
  <c r="J160" i="1" s="1"/>
  <c r="C161" i="1"/>
  <c r="D161" i="1" s="1"/>
  <c r="C162" i="1"/>
  <c r="D162" i="1" s="1"/>
  <c r="C163" i="1"/>
  <c r="J163" i="1" s="1"/>
  <c r="C164" i="1"/>
  <c r="J164" i="1" s="1"/>
  <c r="C165" i="1"/>
  <c r="J165" i="1" s="1"/>
  <c r="C166" i="1"/>
  <c r="J166" i="1" s="1"/>
  <c r="C167" i="1"/>
  <c r="J167" i="1" s="1"/>
  <c r="C168" i="1"/>
  <c r="D168" i="1" s="1"/>
  <c r="C169" i="1"/>
  <c r="J169" i="1" s="1"/>
  <c r="C170" i="1"/>
  <c r="J170" i="1" s="1"/>
  <c r="C171" i="1"/>
  <c r="D171" i="1" s="1"/>
  <c r="C172" i="1"/>
  <c r="J172" i="1" s="1"/>
  <c r="C173" i="1"/>
  <c r="J173" i="1" s="1"/>
  <c r="C174" i="1"/>
  <c r="D174" i="1" s="1"/>
  <c r="C175" i="1"/>
  <c r="J175" i="1" s="1"/>
  <c r="C176" i="1"/>
  <c r="J176" i="1" s="1"/>
  <c r="C177" i="1"/>
  <c r="J177" i="1" s="1"/>
  <c r="C178" i="1"/>
  <c r="J178" i="1" s="1"/>
  <c r="C179" i="1"/>
  <c r="J179" i="1" s="1"/>
  <c r="C180" i="1"/>
  <c r="J180" i="1" s="1"/>
  <c r="C181" i="1"/>
  <c r="D181" i="1" s="1"/>
  <c r="C182" i="1"/>
  <c r="J182" i="1" s="1"/>
  <c r="C183" i="1"/>
  <c r="D183" i="1" s="1"/>
  <c r="C184" i="1"/>
  <c r="J184" i="1" s="1"/>
  <c r="C185" i="1"/>
  <c r="J185" i="1" s="1"/>
  <c r="C186" i="1"/>
  <c r="D186" i="1" s="1"/>
  <c r="C187" i="1"/>
  <c r="J187" i="1" s="1"/>
  <c r="C188" i="1"/>
  <c r="J188" i="1" s="1"/>
  <c r="C189" i="1"/>
  <c r="J189" i="1" s="1"/>
  <c r="C190" i="1"/>
  <c r="J190" i="1" s="1"/>
  <c r="C191" i="1"/>
  <c r="J191" i="1" s="1"/>
  <c r="C192" i="1"/>
  <c r="D192" i="1" s="1"/>
  <c r="C193" i="1"/>
  <c r="D193" i="1" s="1"/>
  <c r="C194" i="1"/>
  <c r="J194" i="1" s="1"/>
  <c r="C195" i="1"/>
  <c r="D195" i="1" s="1"/>
  <c r="C196" i="1"/>
  <c r="J196" i="1" s="1"/>
  <c r="C197" i="1"/>
  <c r="J197" i="1" s="1"/>
  <c r="C198" i="1"/>
  <c r="D198" i="1" s="1"/>
  <c r="C199" i="1"/>
  <c r="J199" i="1" s="1"/>
  <c r="C200" i="1"/>
  <c r="J200" i="1" s="1"/>
  <c r="C201" i="1"/>
  <c r="J201" i="1" s="1"/>
  <c r="C202" i="1"/>
  <c r="J202" i="1" s="1"/>
  <c r="C203" i="1"/>
  <c r="J203" i="1" s="1"/>
  <c r="C204" i="1"/>
  <c r="D204" i="1" s="1"/>
  <c r="C205" i="1"/>
  <c r="D205" i="1" s="1"/>
  <c r="C206" i="1"/>
  <c r="J206" i="1" s="1"/>
  <c r="C207" i="1"/>
  <c r="D207" i="1" s="1"/>
  <c r="C208" i="1"/>
  <c r="J208" i="1" s="1"/>
  <c r="C209" i="1"/>
  <c r="J209" i="1" s="1"/>
  <c r="C210" i="1"/>
  <c r="D210" i="1" s="1"/>
  <c r="C211" i="1"/>
  <c r="J211" i="1" s="1"/>
  <c r="C212" i="1"/>
  <c r="J212" i="1" s="1"/>
  <c r="C213" i="1"/>
  <c r="J213" i="1" s="1"/>
  <c r="C214" i="1"/>
  <c r="J214" i="1" s="1"/>
  <c r="C215" i="1"/>
  <c r="J215" i="1" s="1"/>
  <c r="C216" i="1"/>
  <c r="D216" i="1" s="1"/>
  <c r="C217" i="1"/>
  <c r="D217" i="1" s="1"/>
  <c r="C218" i="1"/>
  <c r="J218" i="1" s="1"/>
  <c r="C219" i="1"/>
  <c r="D219" i="1" s="1"/>
  <c r="C220" i="1"/>
  <c r="J220" i="1" s="1"/>
  <c r="C221" i="1"/>
  <c r="J221" i="1" s="1"/>
  <c r="C222" i="1"/>
  <c r="D222" i="1" s="1"/>
  <c r="C223" i="1"/>
  <c r="J223" i="1" s="1"/>
  <c r="C224" i="1"/>
  <c r="J224" i="1" s="1"/>
  <c r="C225" i="1"/>
  <c r="J225" i="1" s="1"/>
  <c r="C226" i="1"/>
  <c r="J226" i="1" s="1"/>
  <c r="C227" i="1"/>
  <c r="J227" i="1" s="1"/>
  <c r="C228" i="1"/>
  <c r="D228" i="1" s="1"/>
  <c r="C229" i="1"/>
  <c r="D229" i="1" s="1"/>
  <c r="C230" i="1"/>
  <c r="J230" i="1" s="1"/>
  <c r="C231" i="1"/>
  <c r="D231" i="1" s="1"/>
  <c r="C232" i="1"/>
  <c r="J232" i="1" s="1"/>
  <c r="C233" i="1"/>
  <c r="J233" i="1" s="1"/>
  <c r="C234" i="1"/>
  <c r="D234" i="1" s="1"/>
  <c r="C235" i="1"/>
  <c r="J235" i="1" s="1"/>
  <c r="C236" i="1"/>
  <c r="J236" i="1" s="1"/>
  <c r="C237" i="1"/>
  <c r="J237" i="1" s="1"/>
  <c r="C238" i="1"/>
  <c r="J238" i="1" s="1"/>
  <c r="C239" i="1"/>
  <c r="J239" i="1" s="1"/>
  <c r="C240" i="1"/>
  <c r="D240" i="1" s="1"/>
  <c r="C241" i="1"/>
  <c r="J241" i="1" s="1"/>
  <c r="C242" i="1"/>
  <c r="J242" i="1" s="1"/>
  <c r="C243" i="1"/>
  <c r="D243" i="1" s="1"/>
  <c r="C244" i="1"/>
  <c r="J244" i="1" s="1"/>
  <c r="C245" i="1"/>
  <c r="J245" i="1" s="1"/>
  <c r="C246" i="1"/>
  <c r="D246" i="1" s="1"/>
  <c r="C247" i="1"/>
  <c r="J247" i="1" s="1"/>
  <c r="C248" i="1"/>
  <c r="J248" i="1" s="1"/>
  <c r="C249" i="1"/>
  <c r="J249" i="1" s="1"/>
  <c r="C250" i="1"/>
  <c r="D250" i="1" s="1"/>
  <c r="C251" i="1"/>
  <c r="J251" i="1" s="1"/>
  <c r="C252" i="1"/>
  <c r="D252" i="1" s="1"/>
  <c r="C253" i="1"/>
  <c r="J253" i="1" s="1"/>
  <c r="C254" i="1"/>
  <c r="J254" i="1" s="1"/>
  <c r="C255" i="1"/>
  <c r="D255" i="1" s="1"/>
  <c r="C256" i="1"/>
  <c r="D256" i="1" s="1"/>
  <c r="C257" i="1"/>
  <c r="J257" i="1" s="1"/>
  <c r="C258" i="1"/>
  <c r="D258" i="1" s="1"/>
  <c r="C259" i="1"/>
  <c r="J259" i="1" s="1"/>
  <c r="C260" i="1"/>
  <c r="J260" i="1" s="1"/>
  <c r="C261" i="1"/>
  <c r="J261" i="1" s="1"/>
  <c r="C262" i="1"/>
  <c r="D262" i="1" s="1"/>
  <c r="C263" i="1"/>
  <c r="J263" i="1" s="1"/>
  <c r="C264" i="1"/>
  <c r="D264" i="1" s="1"/>
  <c r="C265" i="1"/>
  <c r="J265" i="1" s="1"/>
  <c r="C266" i="1"/>
  <c r="J266" i="1" s="1"/>
  <c r="C267" i="1"/>
  <c r="J267" i="1" s="1"/>
  <c r="C268" i="1"/>
  <c r="D268" i="1" s="1"/>
  <c r="C269" i="1"/>
  <c r="J269" i="1" s="1"/>
  <c r="C270" i="1"/>
  <c r="J270" i="1" s="1"/>
  <c r="C271" i="1"/>
  <c r="J271" i="1" s="1"/>
  <c r="C272" i="1"/>
  <c r="J272" i="1" s="1"/>
  <c r="C273" i="1"/>
  <c r="J273" i="1" s="1"/>
  <c r="C274" i="1"/>
  <c r="D274" i="1" s="1"/>
  <c r="C275" i="1"/>
  <c r="J275" i="1" s="1"/>
  <c r="C276" i="1"/>
  <c r="D276" i="1" s="1"/>
  <c r="C277" i="1"/>
  <c r="J277" i="1" s="1"/>
  <c r="C278" i="1"/>
  <c r="J278" i="1" s="1"/>
  <c r="C279" i="1"/>
  <c r="D279" i="1" s="1"/>
  <c r="C280" i="1"/>
  <c r="D280" i="1" s="1"/>
  <c r="C281" i="1"/>
  <c r="J281" i="1" s="1"/>
  <c r="C282" i="1"/>
  <c r="D282" i="1" s="1"/>
  <c r="C283" i="1"/>
  <c r="J283" i="1" s="1"/>
  <c r="C284" i="1"/>
  <c r="J284" i="1" s="1"/>
  <c r="C285" i="1"/>
  <c r="J285" i="1" s="1"/>
  <c r="C286" i="1"/>
  <c r="D286" i="1" s="1"/>
  <c r="C287" i="1"/>
  <c r="J287" i="1" s="1"/>
  <c r="C288" i="1"/>
  <c r="D288" i="1" s="1"/>
  <c r="C289" i="1"/>
  <c r="J289" i="1" s="1"/>
  <c r="C290" i="1"/>
  <c r="J290" i="1" s="1"/>
  <c r="C291" i="1"/>
  <c r="D291" i="1" s="1"/>
  <c r="C292" i="1"/>
  <c r="D292" i="1" s="1"/>
  <c r="C293" i="1"/>
  <c r="J293" i="1" s="1"/>
  <c r="C294" i="1"/>
  <c r="D294" i="1" s="1"/>
  <c r="C295" i="1"/>
  <c r="J295" i="1" s="1"/>
  <c r="C296" i="1"/>
  <c r="J296" i="1" s="1"/>
  <c r="C297" i="1"/>
  <c r="J297" i="1" s="1"/>
  <c r="C298" i="1"/>
  <c r="D298" i="1" s="1"/>
  <c r="C299" i="1"/>
  <c r="J299" i="1" s="1"/>
  <c r="C300" i="1"/>
  <c r="D300" i="1" s="1"/>
  <c r="C301" i="1"/>
  <c r="J301" i="1" s="1"/>
  <c r="C302" i="1"/>
  <c r="J302" i="1" s="1"/>
  <c r="C303" i="1"/>
  <c r="J303" i="1" s="1"/>
  <c r="C304" i="1"/>
  <c r="D304" i="1" s="1"/>
  <c r="C305" i="1"/>
  <c r="J305" i="1" s="1"/>
  <c r="C306" i="1"/>
  <c r="J306" i="1" s="1"/>
  <c r="C307" i="1"/>
  <c r="J307" i="1" s="1"/>
  <c r="C308" i="1"/>
  <c r="J308" i="1" s="1"/>
  <c r="C309" i="1"/>
  <c r="J309" i="1" s="1"/>
  <c r="C310" i="1"/>
  <c r="D310" i="1" s="1"/>
  <c r="C311" i="1"/>
  <c r="J311" i="1" s="1"/>
  <c r="C312" i="1"/>
  <c r="D312" i="1" s="1"/>
  <c r="C313" i="1"/>
  <c r="J313" i="1" s="1"/>
  <c r="C314" i="1"/>
  <c r="J314" i="1" s="1"/>
  <c r="C315" i="1"/>
  <c r="D315" i="1" s="1"/>
  <c r="C316" i="1"/>
  <c r="D316" i="1" s="1"/>
  <c r="C317" i="1"/>
  <c r="J317" i="1" s="1"/>
  <c r="C318" i="1"/>
  <c r="D318" i="1" s="1"/>
  <c r="C319" i="1"/>
  <c r="J319" i="1" s="1"/>
  <c r="C320" i="1"/>
  <c r="J320" i="1" s="1"/>
  <c r="C321" i="1"/>
  <c r="J321" i="1" s="1"/>
  <c r="C322" i="1"/>
  <c r="D322" i="1" s="1"/>
  <c r="C323" i="1"/>
  <c r="J323" i="1" s="1"/>
  <c r="C324" i="1"/>
  <c r="D324" i="1" s="1"/>
  <c r="C325" i="1"/>
  <c r="J325" i="1" s="1"/>
  <c r="C326" i="1"/>
  <c r="J326" i="1" s="1"/>
  <c r="C327" i="1"/>
  <c r="D327" i="1" s="1"/>
  <c r="C328" i="1"/>
  <c r="E328" i="1" s="1"/>
  <c r="C329" i="1"/>
  <c r="E329" i="1" s="1"/>
  <c r="C330" i="1"/>
  <c r="D330" i="1" s="1"/>
  <c r="C331" i="1"/>
  <c r="J331" i="1" s="1"/>
  <c r="C332" i="1"/>
  <c r="J332" i="1" s="1"/>
  <c r="C333" i="1"/>
  <c r="J333" i="1" s="1"/>
  <c r="C334" i="1"/>
  <c r="E334" i="1" s="1"/>
  <c r="C335" i="1"/>
  <c r="J335" i="1" s="1"/>
  <c r="C336" i="1"/>
  <c r="D336" i="1" s="1"/>
  <c r="C337" i="1"/>
  <c r="J337" i="1" s="1"/>
  <c r="C338" i="1"/>
  <c r="J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J347" i="1" s="1"/>
  <c r="C348" i="1"/>
  <c r="D348" i="1" s="1"/>
  <c r="C349" i="1"/>
  <c r="E349" i="1" s="1"/>
  <c r="C350" i="1"/>
  <c r="D350" i="1" s="1"/>
  <c r="C351" i="1"/>
  <c r="D351" i="1" s="1"/>
  <c r="C352" i="1"/>
  <c r="D352" i="1" s="1"/>
  <c r="C353" i="1"/>
  <c r="J353" i="1" s="1"/>
  <c r="C354" i="1"/>
  <c r="D354" i="1" s="1"/>
  <c r="C355" i="1"/>
  <c r="J355" i="1" s="1"/>
  <c r="C356" i="1"/>
  <c r="J356" i="1" s="1"/>
  <c r="C357" i="1"/>
  <c r="J357" i="1" s="1"/>
  <c r="C358" i="1"/>
  <c r="D358" i="1" s="1"/>
  <c r="C359" i="1"/>
  <c r="J359" i="1" s="1"/>
  <c r="C360" i="1"/>
  <c r="D360" i="1" s="1"/>
  <c r="C361" i="1"/>
  <c r="D361" i="1" s="1"/>
  <c r="C362" i="1"/>
  <c r="D362" i="1" s="1"/>
  <c r="C363" i="1"/>
  <c r="D363" i="1" s="1"/>
  <c r="C364" i="1"/>
  <c r="D364" i="1" s="1"/>
  <c r="C365" i="1"/>
  <c r="J365" i="1" s="1"/>
  <c r="C366" i="1"/>
  <c r="D366" i="1" s="1"/>
  <c r="C367" i="1"/>
  <c r="J367" i="1" s="1"/>
  <c r="C368" i="1"/>
  <c r="J368" i="1" s="1"/>
  <c r="C369" i="1"/>
  <c r="J369" i="1" s="1"/>
  <c r="C370" i="1"/>
  <c r="D370" i="1" s="1"/>
  <c r="C371" i="1"/>
  <c r="J371" i="1" s="1"/>
  <c r="C372" i="1"/>
  <c r="D372" i="1" s="1"/>
  <c r="C373" i="1"/>
  <c r="J373" i="1" s="1"/>
  <c r="C374" i="1"/>
  <c r="D374" i="1" s="1"/>
  <c r="C375" i="1"/>
  <c r="D375" i="1" s="1"/>
  <c r="C376" i="1"/>
  <c r="D376" i="1" s="1"/>
  <c r="C377" i="1"/>
  <c r="J377" i="1" s="1"/>
  <c r="C378" i="1"/>
  <c r="J378" i="1" s="1"/>
  <c r="C379" i="1"/>
  <c r="J379" i="1" s="1"/>
  <c r="C380" i="1"/>
  <c r="J380" i="1" s="1"/>
  <c r="C381" i="1"/>
  <c r="J381" i="1" s="1"/>
  <c r="C382" i="1"/>
  <c r="D382" i="1" s="1"/>
  <c r="C383" i="1"/>
  <c r="J383" i="1" s="1"/>
  <c r="C384" i="1"/>
  <c r="D384" i="1" s="1"/>
  <c r="C385" i="1"/>
  <c r="J385" i="1" s="1"/>
  <c r="C386" i="1"/>
  <c r="D386" i="1" s="1"/>
  <c r="C387" i="1"/>
  <c r="D387" i="1" s="1"/>
  <c r="C3" i="1"/>
  <c r="D3" i="1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4" i="1"/>
  <c r="F30" i="2"/>
  <c r="E30" i="2"/>
  <c r="D30" i="2"/>
  <c r="C30" i="2"/>
  <c r="N5" i="2"/>
  <c r="O5" i="2"/>
  <c r="P5" i="2"/>
  <c r="M5" i="2"/>
  <c r="N6" i="2"/>
  <c r="O6" i="2"/>
  <c r="M6" i="2"/>
  <c r="J7" i="2"/>
  <c r="O7" i="2" s="1"/>
  <c r="I7" i="2"/>
  <c r="N7" i="2" s="1"/>
  <c r="E8" i="2"/>
  <c r="F8" i="2" s="1"/>
  <c r="E9" i="2"/>
  <c r="E10" i="2" s="1"/>
  <c r="E7" i="2"/>
  <c r="F7" i="2" s="1"/>
  <c r="D8" i="2"/>
  <c r="D9" i="2"/>
  <c r="D10" i="2"/>
  <c r="D11" i="2"/>
  <c r="D12" i="2"/>
  <c r="D13" i="2"/>
  <c r="D14" i="2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7" i="2"/>
  <c r="K6" i="2"/>
  <c r="P6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F6" i="2"/>
  <c r="Q100" i="1" l="1"/>
  <c r="Q101" i="1" s="1"/>
  <c r="J329" i="1"/>
  <c r="J150" i="1"/>
  <c r="J222" i="1"/>
  <c r="J42" i="1"/>
  <c r="J41" i="1"/>
  <c r="J294" i="1"/>
  <c r="J114" i="1"/>
  <c r="J366" i="1"/>
  <c r="J186" i="1"/>
  <c r="J6" i="1"/>
  <c r="J258" i="1"/>
  <c r="J330" i="1"/>
  <c r="J354" i="1"/>
  <c r="J318" i="1"/>
  <c r="J282" i="1"/>
  <c r="J246" i="1"/>
  <c r="J210" i="1"/>
  <c r="J174" i="1"/>
  <c r="J138" i="1"/>
  <c r="J102" i="1"/>
  <c r="J66" i="1"/>
  <c r="J30" i="1"/>
  <c r="J65" i="1"/>
  <c r="J344" i="1"/>
  <c r="J343" i="1"/>
  <c r="J342" i="1"/>
  <c r="J234" i="1"/>
  <c r="J198" i="1"/>
  <c r="J162" i="1"/>
  <c r="J126" i="1"/>
  <c r="J90" i="1"/>
  <c r="J54" i="1"/>
  <c r="J18" i="1"/>
  <c r="J341" i="1"/>
  <c r="J161" i="1"/>
  <c r="J89" i="1"/>
  <c r="J53" i="1"/>
  <c r="J17" i="1"/>
  <c r="J78" i="1"/>
  <c r="J376" i="1"/>
  <c r="J364" i="1"/>
  <c r="J352" i="1"/>
  <c r="J340" i="1"/>
  <c r="J328" i="1"/>
  <c r="J316" i="1"/>
  <c r="J304" i="1"/>
  <c r="J292" i="1"/>
  <c r="J280" i="1"/>
  <c r="J268" i="1"/>
  <c r="J256" i="1"/>
  <c r="J387" i="1"/>
  <c r="J375" i="1"/>
  <c r="J363" i="1"/>
  <c r="J351" i="1"/>
  <c r="J339" i="1"/>
  <c r="J327" i="1"/>
  <c r="J315" i="1"/>
  <c r="J291" i="1"/>
  <c r="J279" i="1"/>
  <c r="J255" i="1"/>
  <c r="J243" i="1"/>
  <c r="J231" i="1"/>
  <c r="J219" i="1"/>
  <c r="J207" i="1"/>
  <c r="J195" i="1"/>
  <c r="J183" i="1"/>
  <c r="J171" i="1"/>
  <c r="J159" i="1"/>
  <c r="J147" i="1"/>
  <c r="J135" i="1"/>
  <c r="J123" i="1"/>
  <c r="J111" i="1"/>
  <c r="J99" i="1"/>
  <c r="J87" i="1"/>
  <c r="J75" i="1"/>
  <c r="J63" i="1"/>
  <c r="J51" i="1"/>
  <c r="J39" i="1"/>
  <c r="J27" i="1"/>
  <c r="J15" i="1"/>
  <c r="J386" i="1"/>
  <c r="J374" i="1"/>
  <c r="J362" i="1"/>
  <c r="J350" i="1"/>
  <c r="J146" i="1"/>
  <c r="J122" i="1"/>
  <c r="J98" i="1"/>
  <c r="J74" i="1"/>
  <c r="J62" i="1"/>
  <c r="J361" i="1"/>
  <c r="J349" i="1"/>
  <c r="J229" i="1"/>
  <c r="J217" i="1"/>
  <c r="J205" i="1"/>
  <c r="J193" i="1"/>
  <c r="J181" i="1"/>
  <c r="J157" i="1"/>
  <c r="J133" i="1"/>
  <c r="J121" i="1"/>
  <c r="J109" i="1"/>
  <c r="J85" i="1"/>
  <c r="J73" i="1"/>
  <c r="J61" i="1"/>
  <c r="J49" i="1"/>
  <c r="J37" i="1"/>
  <c r="J13" i="1"/>
  <c r="J384" i="1"/>
  <c r="J372" i="1"/>
  <c r="J360" i="1"/>
  <c r="J348" i="1"/>
  <c r="J336" i="1"/>
  <c r="J324" i="1"/>
  <c r="J312" i="1"/>
  <c r="J300" i="1"/>
  <c r="J288" i="1"/>
  <c r="J276" i="1"/>
  <c r="J264" i="1"/>
  <c r="J252" i="1"/>
  <c r="J240" i="1"/>
  <c r="J228" i="1"/>
  <c r="J216" i="1"/>
  <c r="J204" i="1"/>
  <c r="J192" i="1"/>
  <c r="J168" i="1"/>
  <c r="J156" i="1"/>
  <c r="J132" i="1"/>
  <c r="J120" i="1"/>
  <c r="J108" i="1"/>
  <c r="J96" i="1"/>
  <c r="J84" i="1"/>
  <c r="J72" i="1"/>
  <c r="J60" i="1"/>
  <c r="J48" i="1"/>
  <c r="J24" i="1"/>
  <c r="J12" i="1"/>
  <c r="J59" i="1"/>
  <c r="J382" i="1"/>
  <c r="J370" i="1"/>
  <c r="J358" i="1"/>
  <c r="J346" i="1"/>
  <c r="J334" i="1"/>
  <c r="J322" i="1"/>
  <c r="J310" i="1"/>
  <c r="J298" i="1"/>
  <c r="J286" i="1"/>
  <c r="J274" i="1"/>
  <c r="J262" i="1"/>
  <c r="J250" i="1"/>
  <c r="J345" i="1"/>
  <c r="E348" i="1"/>
  <c r="E60" i="1"/>
  <c r="F60" i="1" s="1"/>
  <c r="E48" i="1"/>
  <c r="F48" i="1" s="1"/>
  <c r="D346" i="1"/>
  <c r="F346" i="1" s="1"/>
  <c r="E361" i="1"/>
  <c r="F361" i="1" s="1"/>
  <c r="D340" i="1"/>
  <c r="F340" i="1" s="1"/>
  <c r="D334" i="1"/>
  <c r="F334" i="1" s="1"/>
  <c r="D61" i="1"/>
  <c r="F61" i="1" s="1"/>
  <c r="D328" i="1"/>
  <c r="F328" i="1" s="1"/>
  <c r="D41" i="1"/>
  <c r="E39" i="1"/>
  <c r="E332" i="1"/>
  <c r="E338" i="1"/>
  <c r="E50" i="1"/>
  <c r="E47" i="1"/>
  <c r="E355" i="1"/>
  <c r="M29" i="2"/>
  <c r="E333" i="1"/>
  <c r="E331" i="1"/>
  <c r="E336" i="1"/>
  <c r="F336" i="1" s="1"/>
  <c r="E327" i="1"/>
  <c r="F327" i="1" s="1"/>
  <c r="E337" i="1"/>
  <c r="E360" i="1"/>
  <c r="F360" i="1" s="1"/>
  <c r="E71" i="1"/>
  <c r="E370" i="1"/>
  <c r="F370" i="1" s="1"/>
  <c r="E358" i="1"/>
  <c r="F358" i="1" s="1"/>
  <c r="E368" i="1"/>
  <c r="E356" i="1"/>
  <c r="E367" i="1"/>
  <c r="E365" i="1"/>
  <c r="E353" i="1"/>
  <c r="E77" i="1"/>
  <c r="E65" i="1"/>
  <c r="F65" i="1" s="1"/>
  <c r="E352" i="1"/>
  <c r="F352" i="1" s="1"/>
  <c r="E364" i="1"/>
  <c r="F364" i="1" s="1"/>
  <c r="E86" i="1"/>
  <c r="E74" i="1"/>
  <c r="F74" i="1" s="1"/>
  <c r="E373" i="1"/>
  <c r="E372" i="1"/>
  <c r="F372" i="1" s="1"/>
  <c r="E72" i="1"/>
  <c r="F72" i="1" s="1"/>
  <c r="E83" i="1"/>
  <c r="M7" i="2"/>
  <c r="E369" i="1"/>
  <c r="E357" i="1"/>
  <c r="E84" i="1"/>
  <c r="F84" i="1" s="1"/>
  <c r="E363" i="1"/>
  <c r="F363" i="1" s="1"/>
  <c r="F39" i="1"/>
  <c r="D383" i="1"/>
  <c r="E347" i="1"/>
  <c r="D347" i="1"/>
  <c r="D311" i="1"/>
  <c r="D275" i="1"/>
  <c r="D239" i="1"/>
  <c r="E371" i="1"/>
  <c r="D371" i="1"/>
  <c r="E335" i="1"/>
  <c r="D335" i="1"/>
  <c r="D299" i="1"/>
  <c r="D263" i="1"/>
  <c r="D227" i="1"/>
  <c r="E359" i="1"/>
  <c r="D359" i="1"/>
  <c r="D323" i="1"/>
  <c r="D287" i="1"/>
  <c r="D251" i="1"/>
  <c r="D215" i="1"/>
  <c r="D225" i="1"/>
  <c r="E81" i="1"/>
  <c r="D81" i="1"/>
  <c r="D385" i="1"/>
  <c r="D373" i="1"/>
  <c r="D349" i="1"/>
  <c r="F349" i="1" s="1"/>
  <c r="D337" i="1"/>
  <c r="D325" i="1"/>
  <c r="D313" i="1"/>
  <c r="D301" i="1"/>
  <c r="D289" i="1"/>
  <c r="D277" i="1"/>
  <c r="D265" i="1"/>
  <c r="D253" i="1"/>
  <c r="D230" i="1"/>
  <c r="D206" i="1"/>
  <c r="D182" i="1"/>
  <c r="D125" i="1"/>
  <c r="D97" i="1"/>
  <c r="D71" i="1"/>
  <c r="D38" i="1"/>
  <c r="E366" i="1"/>
  <c r="F366" i="1" s="1"/>
  <c r="E85" i="1"/>
  <c r="F85" i="1" s="1"/>
  <c r="E49" i="1"/>
  <c r="F49" i="1" s="1"/>
  <c r="D155" i="1"/>
  <c r="D11" i="1"/>
  <c r="D238" i="1"/>
  <c r="D226" i="1"/>
  <c r="D214" i="1"/>
  <c r="D202" i="1"/>
  <c r="D190" i="1"/>
  <c r="D178" i="1"/>
  <c r="D166" i="1"/>
  <c r="D154" i="1"/>
  <c r="D142" i="1"/>
  <c r="D130" i="1"/>
  <c r="D118" i="1"/>
  <c r="D106" i="1"/>
  <c r="D94" i="1"/>
  <c r="E82" i="1"/>
  <c r="D82" i="1"/>
  <c r="E70" i="1"/>
  <c r="D70" i="1"/>
  <c r="E58" i="1"/>
  <c r="D58" i="1"/>
  <c r="E46" i="1"/>
  <c r="D46" i="1"/>
  <c r="D34" i="1"/>
  <c r="D22" i="1"/>
  <c r="D10" i="1"/>
  <c r="D180" i="1"/>
  <c r="D149" i="1"/>
  <c r="D95" i="1"/>
  <c r="D62" i="1"/>
  <c r="F62" i="1" s="1"/>
  <c r="D36" i="1"/>
  <c r="D5" i="1"/>
  <c r="E362" i="1"/>
  <c r="F362" i="1" s="1"/>
  <c r="E330" i="1"/>
  <c r="F330" i="1" s="1"/>
  <c r="E78" i="1"/>
  <c r="F78" i="1" s="1"/>
  <c r="E42" i="1"/>
  <c r="F42" i="1" s="1"/>
  <c r="D237" i="1"/>
  <c r="D153" i="1"/>
  <c r="D33" i="1"/>
  <c r="D203" i="1"/>
  <c r="D35" i="1"/>
  <c r="D248" i="1"/>
  <c r="D236" i="1"/>
  <c r="D224" i="1"/>
  <c r="D212" i="1"/>
  <c r="D200" i="1"/>
  <c r="D188" i="1"/>
  <c r="D176" i="1"/>
  <c r="D164" i="1"/>
  <c r="D152" i="1"/>
  <c r="D140" i="1"/>
  <c r="D128" i="1"/>
  <c r="D116" i="1"/>
  <c r="D104" i="1"/>
  <c r="D92" i="1"/>
  <c r="E80" i="1"/>
  <c r="D80" i="1"/>
  <c r="E68" i="1"/>
  <c r="D68" i="1"/>
  <c r="E56" i="1"/>
  <c r="D56" i="1"/>
  <c r="E44" i="1"/>
  <c r="D44" i="1"/>
  <c r="D32" i="1"/>
  <c r="D20" i="1"/>
  <c r="D8" i="1"/>
  <c r="D381" i="1"/>
  <c r="D369" i="1"/>
  <c r="D357" i="1"/>
  <c r="D345" i="1"/>
  <c r="F345" i="1" s="1"/>
  <c r="D333" i="1"/>
  <c r="D321" i="1"/>
  <c r="D309" i="1"/>
  <c r="D297" i="1"/>
  <c r="D285" i="1"/>
  <c r="D273" i="1"/>
  <c r="D261" i="1"/>
  <c r="D247" i="1"/>
  <c r="D223" i="1"/>
  <c r="D199" i="1"/>
  <c r="D173" i="1"/>
  <c r="D145" i="1"/>
  <c r="D119" i="1"/>
  <c r="D86" i="1"/>
  <c r="D29" i="1"/>
  <c r="E73" i="1"/>
  <c r="F73" i="1" s="1"/>
  <c r="D213" i="1"/>
  <c r="D93" i="1"/>
  <c r="D175" i="1"/>
  <c r="D163" i="1"/>
  <c r="D151" i="1"/>
  <c r="D139" i="1"/>
  <c r="D127" i="1"/>
  <c r="D115" i="1"/>
  <c r="D103" i="1"/>
  <c r="D91" i="1"/>
  <c r="E79" i="1"/>
  <c r="D79" i="1"/>
  <c r="E67" i="1"/>
  <c r="D67" i="1"/>
  <c r="E55" i="1"/>
  <c r="D55" i="1"/>
  <c r="E43" i="1"/>
  <c r="D43" i="1"/>
  <c r="D31" i="1"/>
  <c r="D19" i="1"/>
  <c r="D7" i="1"/>
  <c r="D380" i="1"/>
  <c r="D368" i="1"/>
  <c r="D356" i="1"/>
  <c r="D344" i="1"/>
  <c r="F344" i="1" s="1"/>
  <c r="D332" i="1"/>
  <c r="D320" i="1"/>
  <c r="D308" i="1"/>
  <c r="D296" i="1"/>
  <c r="D284" i="1"/>
  <c r="D272" i="1"/>
  <c r="D260" i="1"/>
  <c r="D245" i="1"/>
  <c r="D221" i="1"/>
  <c r="D197" i="1"/>
  <c r="D170" i="1"/>
  <c r="D144" i="1"/>
  <c r="D113" i="1"/>
  <c r="D59" i="1"/>
  <c r="F59" i="1" s="1"/>
  <c r="D26" i="1"/>
  <c r="E354" i="1"/>
  <c r="F354" i="1" s="1"/>
  <c r="D129" i="1"/>
  <c r="D379" i="1"/>
  <c r="D367" i="1"/>
  <c r="D355" i="1"/>
  <c r="D343" i="1"/>
  <c r="F343" i="1" s="1"/>
  <c r="D331" i="1"/>
  <c r="D319" i="1"/>
  <c r="D307" i="1"/>
  <c r="D295" i="1"/>
  <c r="D283" i="1"/>
  <c r="D271" i="1"/>
  <c r="D259" i="1"/>
  <c r="D242" i="1"/>
  <c r="D218" i="1"/>
  <c r="D194" i="1"/>
  <c r="D169" i="1"/>
  <c r="D143" i="1"/>
  <c r="D110" i="1"/>
  <c r="D53" i="1"/>
  <c r="F53" i="1" s="1"/>
  <c r="D25" i="1"/>
  <c r="E351" i="1"/>
  <c r="F351" i="1" s="1"/>
  <c r="E66" i="1"/>
  <c r="F66" i="1" s="1"/>
  <c r="D189" i="1"/>
  <c r="E69" i="1"/>
  <c r="D69" i="1"/>
  <c r="F41" i="1"/>
  <c r="D378" i="1"/>
  <c r="D342" i="1"/>
  <c r="F342" i="1" s="1"/>
  <c r="D306" i="1"/>
  <c r="D270" i="1"/>
  <c r="D241" i="1"/>
  <c r="D137" i="1"/>
  <c r="D83" i="1"/>
  <c r="D50" i="1"/>
  <c r="E350" i="1"/>
  <c r="F350" i="1" s="1"/>
  <c r="E63" i="1"/>
  <c r="F63" i="1" s="1"/>
  <c r="D141" i="1"/>
  <c r="D9" i="1"/>
  <c r="D179" i="1"/>
  <c r="D244" i="1"/>
  <c r="D232" i="1"/>
  <c r="D220" i="1"/>
  <c r="D208" i="1"/>
  <c r="D196" i="1"/>
  <c r="D184" i="1"/>
  <c r="D172" i="1"/>
  <c r="D160" i="1"/>
  <c r="D148" i="1"/>
  <c r="D136" i="1"/>
  <c r="D124" i="1"/>
  <c r="D112" i="1"/>
  <c r="D100" i="1"/>
  <c r="D88" i="1"/>
  <c r="E76" i="1"/>
  <c r="D76" i="1"/>
  <c r="E64" i="1"/>
  <c r="D64" i="1"/>
  <c r="E52" i="1"/>
  <c r="D52" i="1"/>
  <c r="E40" i="1"/>
  <c r="D40" i="1"/>
  <c r="D28" i="1"/>
  <c r="D16" i="1"/>
  <c r="D4" i="1"/>
  <c r="D377" i="1"/>
  <c r="D365" i="1"/>
  <c r="D353" i="1"/>
  <c r="D341" i="1"/>
  <c r="F341" i="1" s="1"/>
  <c r="D329" i="1"/>
  <c r="F329" i="1" s="1"/>
  <c r="D317" i="1"/>
  <c r="D305" i="1"/>
  <c r="D293" i="1"/>
  <c r="D281" i="1"/>
  <c r="D269" i="1"/>
  <c r="D257" i="1"/>
  <c r="D167" i="1"/>
  <c r="D134" i="1"/>
  <c r="D77" i="1"/>
  <c r="D23" i="1"/>
  <c r="D177" i="1"/>
  <c r="D105" i="1"/>
  <c r="D21" i="1"/>
  <c r="D191" i="1"/>
  <c r="D107" i="1"/>
  <c r="E374" i="1"/>
  <c r="F374" i="1" s="1"/>
  <c r="F348" i="1"/>
  <c r="D249" i="1"/>
  <c r="D165" i="1"/>
  <c r="E45" i="1"/>
  <c r="D45" i="1"/>
  <c r="D339" i="1"/>
  <c r="F339" i="1" s="1"/>
  <c r="D303" i="1"/>
  <c r="D267" i="1"/>
  <c r="D235" i="1"/>
  <c r="D211" i="1"/>
  <c r="D187" i="1"/>
  <c r="D158" i="1"/>
  <c r="D101" i="1"/>
  <c r="D47" i="1"/>
  <c r="D14" i="1"/>
  <c r="E54" i="1"/>
  <c r="F54" i="1" s="1"/>
  <c r="D201" i="1"/>
  <c r="D117" i="1"/>
  <c r="E57" i="1"/>
  <c r="D57" i="1"/>
  <c r="D338" i="1"/>
  <c r="D326" i="1"/>
  <c r="D314" i="1"/>
  <c r="D302" i="1"/>
  <c r="D290" i="1"/>
  <c r="D278" i="1"/>
  <c r="D266" i="1"/>
  <c r="D254" i="1"/>
  <c r="D233" i="1"/>
  <c r="D209" i="1"/>
  <c r="D185" i="1"/>
  <c r="D131" i="1"/>
  <c r="E51" i="1"/>
  <c r="F51" i="1" s="1"/>
  <c r="I8" i="2"/>
  <c r="I9" i="2" s="1"/>
  <c r="N9" i="2" s="1"/>
  <c r="J8" i="2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O29" i="2" s="1"/>
  <c r="N8" i="2"/>
  <c r="O8" i="2"/>
  <c r="O13" i="2"/>
  <c r="K7" i="2"/>
  <c r="P7" i="2" s="1"/>
  <c r="I10" i="2"/>
  <c r="N10" i="2" s="1"/>
  <c r="K8" i="2"/>
  <c r="P8" i="2" s="1"/>
  <c r="E11" i="2"/>
  <c r="F10" i="2"/>
  <c r="F9" i="2"/>
  <c r="Q102" i="1" l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F47" i="1"/>
  <c r="F338" i="1"/>
  <c r="F50" i="1"/>
  <c r="F332" i="1"/>
  <c r="F86" i="1"/>
  <c r="F357" i="1"/>
  <c r="F365" i="1"/>
  <c r="F355" i="1"/>
  <c r="F333" i="1"/>
  <c r="F369" i="1"/>
  <c r="F83" i="1"/>
  <c r="F77" i="1"/>
  <c r="F331" i="1"/>
  <c r="F368" i="1"/>
  <c r="F337" i="1"/>
  <c r="F367" i="1"/>
  <c r="F356" i="1"/>
  <c r="F71" i="1"/>
  <c r="E75" i="1"/>
  <c r="F75" i="1" s="1"/>
  <c r="M8" i="2"/>
  <c r="F353" i="1"/>
  <c r="F373" i="1"/>
  <c r="F46" i="1"/>
  <c r="F57" i="1"/>
  <c r="F80" i="1"/>
  <c r="F40" i="1"/>
  <c r="F69" i="1"/>
  <c r="F58" i="1"/>
  <c r="F64" i="1"/>
  <c r="F43" i="1"/>
  <c r="F56" i="1"/>
  <c r="F82" i="1"/>
  <c r="F52" i="1"/>
  <c r="F347" i="1"/>
  <c r="F44" i="1"/>
  <c r="F81" i="1"/>
  <c r="F55" i="1"/>
  <c r="F76" i="1"/>
  <c r="F68" i="1"/>
  <c r="F70" i="1"/>
  <c r="F359" i="1"/>
  <c r="F45" i="1"/>
  <c r="F67" i="1"/>
  <c r="F335" i="1"/>
  <c r="F79" i="1"/>
  <c r="F371" i="1"/>
  <c r="O28" i="2"/>
  <c r="O20" i="2"/>
  <c r="K9" i="2"/>
  <c r="P9" i="2" s="1"/>
  <c r="O10" i="2"/>
  <c r="O12" i="2"/>
  <c r="O17" i="2"/>
  <c r="O11" i="2"/>
  <c r="O25" i="2"/>
  <c r="O21" i="2"/>
  <c r="O24" i="2"/>
  <c r="O15" i="2"/>
  <c r="O14" i="2"/>
  <c r="O23" i="2"/>
  <c r="J30" i="2"/>
  <c r="O19" i="2"/>
  <c r="O18" i="2"/>
  <c r="O27" i="2"/>
  <c r="O22" i="2"/>
  <c r="O16" i="2"/>
  <c r="O26" i="2"/>
  <c r="O9" i="2"/>
  <c r="I11" i="2"/>
  <c r="N11" i="2" s="1"/>
  <c r="K10" i="2"/>
  <c r="P10" i="2" s="1"/>
  <c r="F11" i="2"/>
  <c r="E12" i="2"/>
  <c r="Q227" i="1" l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M9" i="2"/>
  <c r="E385" i="1"/>
  <c r="F385" i="1" s="1"/>
  <c r="E386" i="1"/>
  <c r="F386" i="1" s="1"/>
  <c r="E97" i="1"/>
  <c r="F97" i="1" s="1"/>
  <c r="E89" i="1"/>
  <c r="F89" i="1" s="1"/>
  <c r="E384" i="1"/>
  <c r="F384" i="1" s="1"/>
  <c r="E382" i="1"/>
  <c r="F382" i="1" s="1"/>
  <c r="E381" i="1"/>
  <c r="F381" i="1" s="1"/>
  <c r="E383" i="1"/>
  <c r="F383" i="1" s="1"/>
  <c r="E96" i="1"/>
  <c r="F96" i="1" s="1"/>
  <c r="E91" i="1"/>
  <c r="F91" i="1" s="1"/>
  <c r="E375" i="1"/>
  <c r="F375" i="1" s="1"/>
  <c r="E378" i="1"/>
  <c r="F378" i="1" s="1"/>
  <c r="E380" i="1"/>
  <c r="F380" i="1" s="1"/>
  <c r="E92" i="1"/>
  <c r="F92" i="1" s="1"/>
  <c r="E93" i="1"/>
  <c r="F93" i="1" s="1"/>
  <c r="E90" i="1"/>
  <c r="F90" i="1" s="1"/>
  <c r="E88" i="1"/>
  <c r="F88" i="1" s="1"/>
  <c r="E95" i="1"/>
  <c r="F95" i="1" s="1"/>
  <c r="E376" i="1"/>
  <c r="F376" i="1" s="1"/>
  <c r="E379" i="1"/>
  <c r="F379" i="1" s="1"/>
  <c r="E94" i="1"/>
  <c r="F94" i="1" s="1"/>
  <c r="E377" i="1"/>
  <c r="F377" i="1" s="1"/>
  <c r="E98" i="1"/>
  <c r="F98" i="1" s="1"/>
  <c r="E87" i="1"/>
  <c r="F87" i="1" s="1"/>
  <c r="O4" i="2"/>
  <c r="O3" i="2" s="1"/>
  <c r="K11" i="2"/>
  <c r="I12" i="2"/>
  <c r="N12" i="2" s="1"/>
  <c r="F12" i="2"/>
  <c r="E13" i="2"/>
  <c r="E108" i="1" l="1"/>
  <c r="F108" i="1" s="1"/>
  <c r="E109" i="1"/>
  <c r="F109" i="1" s="1"/>
  <c r="E103" i="1"/>
  <c r="F103" i="1" s="1"/>
  <c r="E104" i="1"/>
  <c r="F104" i="1" s="1"/>
  <c r="E99" i="1"/>
  <c r="F99" i="1" s="1"/>
  <c r="M10" i="2"/>
  <c r="E102" i="1"/>
  <c r="F102" i="1" s="1"/>
  <c r="E105" i="1"/>
  <c r="F105" i="1" s="1"/>
  <c r="E107" i="1"/>
  <c r="F107" i="1" s="1"/>
  <c r="E387" i="1"/>
  <c r="F387" i="1" s="1"/>
  <c r="E106" i="1"/>
  <c r="F106" i="1" s="1"/>
  <c r="E110" i="1"/>
  <c r="F110" i="1" s="1"/>
  <c r="E101" i="1"/>
  <c r="F101" i="1" s="1"/>
  <c r="E100" i="1"/>
  <c r="F100" i="1" s="1"/>
  <c r="P11" i="2"/>
  <c r="I13" i="2"/>
  <c r="N13" i="2" s="1"/>
  <c r="K12" i="2"/>
  <c r="P12" i="2" s="1"/>
  <c r="E14" i="2"/>
  <c r="F13" i="2"/>
  <c r="E122" i="1" l="1"/>
  <c r="F122" i="1" s="1"/>
  <c r="E119" i="1"/>
  <c r="F119" i="1" s="1"/>
  <c r="E121" i="1"/>
  <c r="F121" i="1" s="1"/>
  <c r="E115" i="1"/>
  <c r="F115" i="1" s="1"/>
  <c r="E118" i="1"/>
  <c r="F118" i="1" s="1"/>
  <c r="E112" i="1"/>
  <c r="F112" i="1" s="1"/>
  <c r="E117" i="1"/>
  <c r="F117" i="1" s="1"/>
  <c r="E113" i="1"/>
  <c r="F113" i="1" s="1"/>
  <c r="E111" i="1"/>
  <c r="F111" i="1" s="1"/>
  <c r="E114" i="1"/>
  <c r="F114" i="1" s="1"/>
  <c r="E116" i="1"/>
  <c r="F116" i="1" s="1"/>
  <c r="E120" i="1"/>
  <c r="F120" i="1" s="1"/>
  <c r="M11" i="2"/>
  <c r="I14" i="2"/>
  <c r="N14" i="2" s="1"/>
  <c r="K13" i="2"/>
  <c r="P13" i="2" s="1"/>
  <c r="E15" i="2"/>
  <c r="F14" i="2"/>
  <c r="E130" i="1" l="1"/>
  <c r="F130" i="1" s="1"/>
  <c r="E124" i="1"/>
  <c r="F124" i="1" s="1"/>
  <c r="M12" i="2"/>
  <c r="E129" i="1"/>
  <c r="F129" i="1" s="1"/>
  <c r="E127" i="1"/>
  <c r="F127" i="1" s="1"/>
  <c r="E131" i="1"/>
  <c r="F131" i="1" s="1"/>
  <c r="E126" i="1"/>
  <c r="F126" i="1" s="1"/>
  <c r="E134" i="1"/>
  <c r="F134" i="1" s="1"/>
  <c r="E132" i="1"/>
  <c r="F132" i="1" s="1"/>
  <c r="E123" i="1"/>
  <c r="F123" i="1" s="1"/>
  <c r="E125" i="1"/>
  <c r="F125" i="1" s="1"/>
  <c r="E133" i="1"/>
  <c r="F133" i="1" s="1"/>
  <c r="E128" i="1"/>
  <c r="F128" i="1" s="1"/>
  <c r="I15" i="2"/>
  <c r="N15" i="2" s="1"/>
  <c r="K14" i="2"/>
  <c r="F15" i="2"/>
  <c r="E16" i="2"/>
  <c r="E143" i="1" l="1"/>
  <c r="F143" i="1" s="1"/>
  <c r="E141" i="1"/>
  <c r="F141" i="1" s="1"/>
  <c r="E137" i="1"/>
  <c r="F137" i="1" s="1"/>
  <c r="E138" i="1"/>
  <c r="F138" i="1" s="1"/>
  <c r="E146" i="1"/>
  <c r="F146" i="1" s="1"/>
  <c r="E145" i="1"/>
  <c r="F145" i="1" s="1"/>
  <c r="E144" i="1"/>
  <c r="F144" i="1" s="1"/>
  <c r="E142" i="1"/>
  <c r="F142" i="1" s="1"/>
  <c r="E136" i="1"/>
  <c r="F136" i="1" s="1"/>
  <c r="M13" i="2"/>
  <c r="E139" i="1"/>
  <c r="F139" i="1" s="1"/>
  <c r="E135" i="1"/>
  <c r="F135" i="1" s="1"/>
  <c r="E140" i="1"/>
  <c r="F140" i="1" s="1"/>
  <c r="P14" i="2"/>
  <c r="K15" i="2"/>
  <c r="P15" i="2" s="1"/>
  <c r="I16" i="2"/>
  <c r="N16" i="2" s="1"/>
  <c r="F16" i="2"/>
  <c r="E17" i="2"/>
  <c r="E155" i="1" l="1"/>
  <c r="F155" i="1" s="1"/>
  <c r="E153" i="1"/>
  <c r="F153" i="1" s="1"/>
  <c r="E147" i="1"/>
  <c r="F147" i="1" s="1"/>
  <c r="E150" i="1"/>
  <c r="F150" i="1" s="1"/>
  <c r="M14" i="2"/>
  <c r="E151" i="1"/>
  <c r="F151" i="1" s="1"/>
  <c r="E154" i="1"/>
  <c r="F154" i="1" s="1"/>
  <c r="E157" i="1"/>
  <c r="F157" i="1" s="1"/>
  <c r="E158" i="1"/>
  <c r="F158" i="1" s="1"/>
  <c r="E156" i="1"/>
  <c r="F156" i="1" s="1"/>
  <c r="E152" i="1"/>
  <c r="F152" i="1" s="1"/>
  <c r="E149" i="1"/>
  <c r="F149" i="1" s="1"/>
  <c r="E148" i="1"/>
  <c r="F148" i="1" s="1"/>
  <c r="I17" i="2"/>
  <c r="N17" i="2" s="1"/>
  <c r="K16" i="2"/>
  <c r="P16" i="2" s="1"/>
  <c r="E18" i="2"/>
  <c r="F17" i="2"/>
  <c r="E166" i="1" l="1"/>
  <c r="F166" i="1" s="1"/>
  <c r="E167" i="1"/>
  <c r="F167" i="1" s="1"/>
  <c r="E162" i="1"/>
  <c r="F162" i="1" s="1"/>
  <c r="E161" i="1"/>
  <c r="F161" i="1" s="1"/>
  <c r="E168" i="1"/>
  <c r="F168" i="1" s="1"/>
  <c r="E160" i="1"/>
  <c r="F160" i="1" s="1"/>
  <c r="E170" i="1"/>
  <c r="F170" i="1" s="1"/>
  <c r="E163" i="1"/>
  <c r="F163" i="1" s="1"/>
  <c r="E164" i="1"/>
  <c r="F164" i="1" s="1"/>
  <c r="E159" i="1"/>
  <c r="F159" i="1" s="1"/>
  <c r="E165" i="1"/>
  <c r="F165" i="1" s="1"/>
  <c r="M15" i="2"/>
  <c r="E169" i="1"/>
  <c r="F169" i="1" s="1"/>
  <c r="I18" i="2"/>
  <c r="N18" i="2" s="1"/>
  <c r="K17" i="2"/>
  <c r="P17" i="2" s="1"/>
  <c r="F18" i="2"/>
  <c r="E19" i="2"/>
  <c r="E172" i="1" l="1"/>
  <c r="F172" i="1" s="1"/>
  <c r="E181" i="1"/>
  <c r="F181" i="1" s="1"/>
  <c r="E177" i="1"/>
  <c r="F177" i="1" s="1"/>
  <c r="E182" i="1"/>
  <c r="F182" i="1" s="1"/>
  <c r="E174" i="1"/>
  <c r="F174" i="1" s="1"/>
  <c r="E171" i="1"/>
  <c r="F171" i="1" s="1"/>
  <c r="E176" i="1"/>
  <c r="F176" i="1" s="1"/>
  <c r="E180" i="1"/>
  <c r="F180" i="1" s="1"/>
  <c r="E175" i="1"/>
  <c r="F175" i="1" s="1"/>
  <c r="M16" i="2"/>
  <c r="E173" i="1"/>
  <c r="F173" i="1" s="1"/>
  <c r="E178" i="1"/>
  <c r="F178" i="1" s="1"/>
  <c r="E179" i="1"/>
  <c r="F179" i="1" s="1"/>
  <c r="I19" i="2"/>
  <c r="N19" i="2" s="1"/>
  <c r="K18" i="2"/>
  <c r="P18" i="2" s="1"/>
  <c r="F19" i="2"/>
  <c r="E20" i="2"/>
  <c r="E190" i="1" l="1"/>
  <c r="F190" i="1" s="1"/>
  <c r="E192" i="1"/>
  <c r="F192" i="1" s="1"/>
  <c r="M17" i="2"/>
  <c r="E187" i="1"/>
  <c r="F187" i="1" s="1"/>
  <c r="E186" i="1"/>
  <c r="F186" i="1" s="1"/>
  <c r="E193" i="1"/>
  <c r="F193" i="1" s="1"/>
  <c r="E188" i="1"/>
  <c r="F188" i="1" s="1"/>
  <c r="E183" i="1"/>
  <c r="F183" i="1" s="1"/>
  <c r="E184" i="1"/>
  <c r="F184" i="1" s="1"/>
  <c r="E189" i="1"/>
  <c r="F189" i="1" s="1"/>
  <c r="E191" i="1"/>
  <c r="F191" i="1" s="1"/>
  <c r="E194" i="1"/>
  <c r="F194" i="1" s="1"/>
  <c r="E185" i="1"/>
  <c r="F185" i="1" s="1"/>
  <c r="K19" i="2"/>
  <c r="P19" i="2" s="1"/>
  <c r="I20" i="2"/>
  <c r="N20" i="2" s="1"/>
  <c r="F20" i="2"/>
  <c r="E21" i="2"/>
  <c r="E203" i="1" l="1"/>
  <c r="F203" i="1" s="1"/>
  <c r="E196" i="1"/>
  <c r="F196" i="1" s="1"/>
  <c r="E204" i="1"/>
  <c r="F204" i="1" s="1"/>
  <c r="E206" i="1"/>
  <c r="F206" i="1" s="1"/>
  <c r="M18" i="2"/>
  <c r="E195" i="1"/>
  <c r="F195" i="1" s="1"/>
  <c r="E199" i="1"/>
  <c r="F199" i="1" s="1"/>
  <c r="E205" i="1"/>
  <c r="F205" i="1" s="1"/>
  <c r="E200" i="1"/>
  <c r="F200" i="1" s="1"/>
  <c r="E197" i="1"/>
  <c r="F197" i="1" s="1"/>
  <c r="E198" i="1"/>
  <c r="F198" i="1" s="1"/>
  <c r="E202" i="1"/>
  <c r="F202" i="1" s="1"/>
  <c r="E201" i="1"/>
  <c r="F201" i="1" s="1"/>
  <c r="I21" i="2"/>
  <c r="N21" i="2" s="1"/>
  <c r="K20" i="2"/>
  <c r="P20" i="2" s="1"/>
  <c r="E22" i="2"/>
  <c r="F21" i="2"/>
  <c r="E209" i="1" l="1"/>
  <c r="F209" i="1" s="1"/>
  <c r="E218" i="1"/>
  <c r="F218" i="1" s="1"/>
  <c r="E211" i="1"/>
  <c r="F211" i="1" s="1"/>
  <c r="M19" i="2"/>
  <c r="E212" i="1"/>
  <c r="F212" i="1" s="1"/>
  <c r="E213" i="1"/>
  <c r="F213" i="1" s="1"/>
  <c r="E208" i="1"/>
  <c r="F208" i="1" s="1"/>
  <c r="E207" i="1"/>
  <c r="F207" i="1" s="1"/>
  <c r="E214" i="1"/>
  <c r="F214" i="1" s="1"/>
  <c r="E215" i="1"/>
  <c r="F215" i="1" s="1"/>
  <c r="E217" i="1"/>
  <c r="F217" i="1" s="1"/>
  <c r="E210" i="1"/>
  <c r="F210" i="1" s="1"/>
  <c r="E216" i="1"/>
  <c r="F216" i="1" s="1"/>
  <c r="I22" i="2"/>
  <c r="N22" i="2" s="1"/>
  <c r="K21" i="2"/>
  <c r="P21" i="2" s="1"/>
  <c r="E23" i="2"/>
  <c r="F22" i="2"/>
  <c r="E223" i="1" l="1"/>
  <c r="F223" i="1" s="1"/>
  <c r="E230" i="1"/>
  <c r="F230" i="1" s="1"/>
  <c r="E228" i="1"/>
  <c r="F228" i="1" s="1"/>
  <c r="E229" i="1"/>
  <c r="F229" i="1" s="1"/>
  <c r="E225" i="1"/>
  <c r="F225" i="1" s="1"/>
  <c r="E224" i="1"/>
  <c r="F224" i="1" s="1"/>
  <c r="E219" i="1"/>
  <c r="F219" i="1" s="1"/>
  <c r="E226" i="1"/>
  <c r="F226" i="1" s="1"/>
  <c r="E220" i="1"/>
  <c r="F220" i="1" s="1"/>
  <c r="M20" i="2"/>
  <c r="E222" i="1"/>
  <c r="F222" i="1" s="1"/>
  <c r="E221" i="1"/>
  <c r="F221" i="1" s="1"/>
  <c r="E227" i="1"/>
  <c r="F227" i="1" s="1"/>
  <c r="I23" i="2"/>
  <c r="N23" i="2" s="1"/>
  <c r="K22" i="2"/>
  <c r="P22" i="2" s="1"/>
  <c r="F23" i="2"/>
  <c r="E24" i="2"/>
  <c r="E235" i="1" l="1"/>
  <c r="F235" i="1" s="1"/>
  <c r="E238" i="1"/>
  <c r="F238" i="1" s="1"/>
  <c r="E233" i="1"/>
  <c r="F233" i="1" s="1"/>
  <c r="E240" i="1"/>
  <c r="F240" i="1" s="1"/>
  <c r="M21" i="2"/>
  <c r="E231" i="1"/>
  <c r="F231" i="1" s="1"/>
  <c r="E232" i="1"/>
  <c r="F232" i="1" s="1"/>
  <c r="E241" i="1"/>
  <c r="F241" i="1" s="1"/>
  <c r="E234" i="1"/>
  <c r="F234" i="1" s="1"/>
  <c r="E239" i="1"/>
  <c r="F239" i="1" s="1"/>
  <c r="E236" i="1"/>
  <c r="F236" i="1" s="1"/>
  <c r="E242" i="1"/>
  <c r="F242" i="1" s="1"/>
  <c r="E237" i="1"/>
  <c r="F237" i="1" s="1"/>
  <c r="K23" i="2"/>
  <c r="P23" i="2" s="1"/>
  <c r="I24" i="2"/>
  <c r="N24" i="2" s="1"/>
  <c r="F24" i="2"/>
  <c r="E25" i="2"/>
  <c r="E248" i="1" l="1"/>
  <c r="F248" i="1" s="1"/>
  <c r="E247" i="1"/>
  <c r="F247" i="1" s="1"/>
  <c r="E250" i="1"/>
  <c r="F250" i="1" s="1"/>
  <c r="E244" i="1"/>
  <c r="F244" i="1" s="1"/>
  <c r="E243" i="1"/>
  <c r="F243" i="1" s="1"/>
  <c r="E245" i="1"/>
  <c r="F245" i="1" s="1"/>
  <c r="E254" i="1"/>
  <c r="F254" i="1" s="1"/>
  <c r="E246" i="1"/>
  <c r="F246" i="1" s="1"/>
  <c r="E249" i="1"/>
  <c r="F249" i="1" s="1"/>
  <c r="M22" i="2"/>
  <c r="E251" i="1"/>
  <c r="F251" i="1" s="1"/>
  <c r="E253" i="1"/>
  <c r="F253" i="1" s="1"/>
  <c r="E252" i="1"/>
  <c r="F252" i="1" s="1"/>
  <c r="I25" i="2"/>
  <c r="N25" i="2" s="1"/>
  <c r="K24" i="2"/>
  <c r="P24" i="2" s="1"/>
  <c r="F25" i="2"/>
  <c r="E26" i="2"/>
  <c r="E259" i="1" l="1"/>
  <c r="F259" i="1" s="1"/>
  <c r="E256" i="1"/>
  <c r="F256" i="1" s="1"/>
  <c r="E261" i="1"/>
  <c r="F261" i="1" s="1"/>
  <c r="E258" i="1"/>
  <c r="F258" i="1" s="1"/>
  <c r="E260" i="1"/>
  <c r="F260" i="1" s="1"/>
  <c r="E255" i="1"/>
  <c r="F255" i="1" s="1"/>
  <c r="M23" i="2"/>
  <c r="E265" i="1"/>
  <c r="F265" i="1" s="1"/>
  <c r="E264" i="1"/>
  <c r="F264" i="1" s="1"/>
  <c r="E262" i="1"/>
  <c r="F262" i="1" s="1"/>
  <c r="E263" i="1"/>
  <c r="F263" i="1" s="1"/>
  <c r="E257" i="1"/>
  <c r="F257" i="1" s="1"/>
  <c r="E266" i="1"/>
  <c r="F266" i="1" s="1"/>
  <c r="I26" i="2"/>
  <c r="N26" i="2" s="1"/>
  <c r="K25" i="2"/>
  <c r="P25" i="2" s="1"/>
  <c r="F26" i="2"/>
  <c r="E27" i="2"/>
  <c r="E267" i="1" l="1"/>
  <c r="F267" i="1" s="1"/>
  <c r="E272" i="1"/>
  <c r="F272" i="1" s="1"/>
  <c r="M24" i="2"/>
  <c r="E271" i="1"/>
  <c r="F271" i="1" s="1"/>
  <c r="E275" i="1"/>
  <c r="F275" i="1" s="1"/>
  <c r="E278" i="1"/>
  <c r="F278" i="1" s="1"/>
  <c r="E274" i="1"/>
  <c r="F274" i="1" s="1"/>
  <c r="E268" i="1"/>
  <c r="F268" i="1" s="1"/>
  <c r="E273" i="1"/>
  <c r="F273" i="1" s="1"/>
  <c r="E276" i="1"/>
  <c r="F276" i="1" s="1"/>
  <c r="E269" i="1"/>
  <c r="F269" i="1" s="1"/>
  <c r="E277" i="1"/>
  <c r="F277" i="1" s="1"/>
  <c r="E270" i="1"/>
  <c r="F270" i="1" s="1"/>
  <c r="I27" i="2"/>
  <c r="N27" i="2" s="1"/>
  <c r="K26" i="2"/>
  <c r="P26" i="2" s="1"/>
  <c r="F27" i="2"/>
  <c r="E28" i="2"/>
  <c r="E284" i="1" l="1"/>
  <c r="F284" i="1" s="1"/>
  <c r="E289" i="1"/>
  <c r="F289" i="1" s="1"/>
  <c r="E283" i="1"/>
  <c r="F283" i="1" s="1"/>
  <c r="E282" i="1"/>
  <c r="F282" i="1" s="1"/>
  <c r="M25" i="2"/>
  <c r="E286" i="1"/>
  <c r="F286" i="1" s="1"/>
  <c r="E287" i="1"/>
  <c r="F287" i="1" s="1"/>
  <c r="E279" i="1"/>
  <c r="F279" i="1" s="1"/>
  <c r="E281" i="1"/>
  <c r="F281" i="1" s="1"/>
  <c r="E288" i="1"/>
  <c r="F288" i="1" s="1"/>
  <c r="E285" i="1"/>
  <c r="F285" i="1" s="1"/>
  <c r="E280" i="1"/>
  <c r="F280" i="1" s="1"/>
  <c r="E290" i="1"/>
  <c r="F290" i="1" s="1"/>
  <c r="K27" i="2"/>
  <c r="P27" i="2" s="1"/>
  <c r="I28" i="2"/>
  <c r="N28" i="2" s="1"/>
  <c r="E29" i="2"/>
  <c r="F29" i="2" s="1"/>
  <c r="F28" i="2"/>
  <c r="E299" i="1" l="1"/>
  <c r="F299" i="1" s="1"/>
  <c r="E14" i="1"/>
  <c r="F14" i="1" s="1"/>
  <c r="E5" i="1"/>
  <c r="F5" i="1" s="1"/>
  <c r="E292" i="1"/>
  <c r="F292" i="1" s="1"/>
  <c r="E3" i="1"/>
  <c r="F3" i="1" s="1"/>
  <c r="E7" i="1"/>
  <c r="F7" i="1" s="1"/>
  <c r="E298" i="1"/>
  <c r="F298" i="1" s="1"/>
  <c r="E293" i="1"/>
  <c r="F293" i="1" s="1"/>
  <c r="E294" i="1"/>
  <c r="F294" i="1" s="1"/>
  <c r="E6" i="1"/>
  <c r="F6" i="1" s="1"/>
  <c r="M26" i="2"/>
  <c r="E295" i="1"/>
  <c r="F295" i="1" s="1"/>
  <c r="E296" i="1"/>
  <c r="F296" i="1" s="1"/>
  <c r="E10" i="1"/>
  <c r="F10" i="1" s="1"/>
  <c r="E291" i="1"/>
  <c r="F291" i="1" s="1"/>
  <c r="E4" i="1"/>
  <c r="F4" i="1" s="1"/>
  <c r="E301" i="1"/>
  <c r="F301" i="1" s="1"/>
  <c r="E13" i="1"/>
  <c r="F13" i="1" s="1"/>
  <c r="E11" i="1"/>
  <c r="F11" i="1" s="1"/>
  <c r="E12" i="1"/>
  <c r="F12" i="1" s="1"/>
  <c r="E300" i="1"/>
  <c r="F300" i="1" s="1"/>
  <c r="E302" i="1"/>
  <c r="F302" i="1" s="1"/>
  <c r="E297" i="1"/>
  <c r="F297" i="1" s="1"/>
  <c r="E9" i="1"/>
  <c r="F9" i="1" s="1"/>
  <c r="E8" i="1"/>
  <c r="F8" i="1" s="1"/>
  <c r="K28" i="2"/>
  <c r="P28" i="2" s="1"/>
  <c r="I29" i="2"/>
  <c r="I30" i="2" s="1"/>
  <c r="E306" i="1" l="1"/>
  <c r="F306" i="1" s="1"/>
  <c r="E23" i="1"/>
  <c r="F23" i="1" s="1"/>
  <c r="E310" i="1"/>
  <c r="F310" i="1" s="1"/>
  <c r="E25" i="1"/>
  <c r="F25" i="1" s="1"/>
  <c r="E22" i="1"/>
  <c r="F22" i="1" s="1"/>
  <c r="E309" i="1"/>
  <c r="F309" i="1" s="1"/>
  <c r="E305" i="1"/>
  <c r="F305" i="1" s="1"/>
  <c r="E18" i="1"/>
  <c r="F18" i="1" s="1"/>
  <c r="E312" i="1"/>
  <c r="F312" i="1" s="1"/>
  <c r="E314" i="1"/>
  <c r="F314" i="1" s="1"/>
  <c r="E16" i="1"/>
  <c r="F16" i="1" s="1"/>
  <c r="E313" i="1"/>
  <c r="F313" i="1" s="1"/>
  <c r="E24" i="1"/>
  <c r="F24" i="1" s="1"/>
  <c r="M27" i="2"/>
  <c r="E311" i="1"/>
  <c r="F311" i="1" s="1"/>
  <c r="E21" i="1"/>
  <c r="F21" i="1" s="1"/>
  <c r="E304" i="1"/>
  <c r="F304" i="1" s="1"/>
  <c r="E15" i="1"/>
  <c r="F15" i="1" s="1"/>
  <c r="E308" i="1"/>
  <c r="F308" i="1" s="1"/>
  <c r="E19" i="1"/>
  <c r="F19" i="1" s="1"/>
  <c r="E17" i="1"/>
  <c r="F17" i="1" s="1"/>
  <c r="E303" i="1"/>
  <c r="F303" i="1" s="1"/>
  <c r="E26" i="1"/>
  <c r="F26" i="1" s="1"/>
  <c r="E307" i="1"/>
  <c r="F307" i="1" s="1"/>
  <c r="E20" i="1"/>
  <c r="F20" i="1" s="1"/>
  <c r="K29" i="2"/>
  <c r="N29" i="2"/>
  <c r="N4" i="2" s="1"/>
  <c r="N3" i="2" s="1"/>
  <c r="E36" i="1" l="1"/>
  <c r="F36" i="1" s="1"/>
  <c r="E326" i="1"/>
  <c r="F326" i="1" s="1"/>
  <c r="E320" i="1"/>
  <c r="F320" i="1" s="1"/>
  <c r="E324" i="1"/>
  <c r="F324" i="1" s="1"/>
  <c r="E323" i="1"/>
  <c r="F323" i="1" s="1"/>
  <c r="M28" i="2"/>
  <c r="M4" i="2" s="1"/>
  <c r="M3" i="2" s="1"/>
  <c r="E315" i="1"/>
  <c r="F315" i="1" s="1"/>
  <c r="E322" i="1"/>
  <c r="F322" i="1" s="1"/>
  <c r="E318" i="1"/>
  <c r="F318" i="1" s="1"/>
  <c r="E31" i="1"/>
  <c r="F31" i="1" s="1"/>
  <c r="E27" i="1"/>
  <c r="F27" i="1" s="1"/>
  <c r="E35" i="1"/>
  <c r="F35" i="1" s="1"/>
  <c r="E30" i="1"/>
  <c r="F30" i="1" s="1"/>
  <c r="E317" i="1"/>
  <c r="F317" i="1" s="1"/>
  <c r="E34" i="1"/>
  <c r="F34" i="1" s="1"/>
  <c r="E33" i="1"/>
  <c r="F33" i="1" s="1"/>
  <c r="E325" i="1"/>
  <c r="F325" i="1" s="1"/>
  <c r="E316" i="1"/>
  <c r="F316" i="1" s="1"/>
  <c r="E321" i="1"/>
  <c r="F321" i="1" s="1"/>
  <c r="E28" i="1"/>
  <c r="F28" i="1" s="1"/>
  <c r="E38" i="1"/>
  <c r="F38" i="1" s="1"/>
  <c r="E319" i="1"/>
  <c r="F319" i="1" s="1"/>
  <c r="E32" i="1"/>
  <c r="F32" i="1" s="1"/>
  <c r="E29" i="1"/>
  <c r="F29" i="1" s="1"/>
  <c r="E37" i="1"/>
  <c r="F37" i="1" s="1"/>
  <c r="H30" i="2"/>
  <c r="H32" i="2" s="1"/>
  <c r="I32" i="2" s="1"/>
  <c r="P29" i="2"/>
  <c r="P4" i="2" s="1"/>
  <c r="P3" i="2" s="1"/>
  <c r="K30" i="2"/>
  <c r="P1" i="2" l="1"/>
</calcChain>
</file>

<file path=xl/sharedStrings.xml><?xml version="1.0" encoding="utf-8"?>
<sst xmlns="http://schemas.openxmlformats.org/spreadsheetml/2006/main" count="48" uniqueCount="37">
  <si>
    <t>Insulin</t>
  </si>
  <si>
    <t>Peak (min)</t>
  </si>
  <si>
    <t>DIA</t>
  </si>
  <si>
    <t>DIA (min)</t>
  </si>
  <si>
    <t>Hour</t>
  </si>
  <si>
    <t>BasalRate</t>
  </si>
  <si>
    <t>ISF</t>
  </si>
  <si>
    <t>CSF</t>
  </si>
  <si>
    <t>Min</t>
  </si>
  <si>
    <t>Reference Profile (=Autotune Target), used for BG calculation</t>
  </si>
  <si>
    <t>Peak</t>
  </si>
  <si>
    <t>Standard deviation</t>
  </si>
  <si>
    <t>Carb Ratio</t>
  </si>
  <si>
    <t>Distance between Reference Profile and PumpProfile</t>
  </si>
  <si>
    <t>min</t>
  </si>
  <si>
    <t>Minute</t>
  </si>
  <si>
    <t>Day</t>
  </si>
  <si>
    <t>MinFromMidnight</t>
  </si>
  <si>
    <t>PumpProfile BR</t>
  </si>
  <si>
    <t>Ref BR</t>
  </si>
  <si>
    <t>5minBR</t>
  </si>
  <si>
    <t>BasalActivity</t>
  </si>
  <si>
    <t>Bolus/SMB</t>
  </si>
  <si>
    <t>Bolus/SMBActivity</t>
  </si>
  <si>
    <t>MealPeak</t>
  </si>
  <si>
    <t>MealDuration</t>
  </si>
  <si>
    <t>BGI</t>
  </si>
  <si>
    <t>Meal/Carbs</t>
  </si>
  <si>
    <t>UAM</t>
  </si>
  <si>
    <t>Calculated BG</t>
  </si>
  <si>
    <t>MealBGI</t>
  </si>
  <si>
    <t>CarbActivity</t>
  </si>
  <si>
    <t>Default Meal Duration</t>
  </si>
  <si>
    <t>Default Meal Peak</t>
  </si>
  <si>
    <t>Coefficient of variation</t>
  </si>
  <si>
    <t>Not used</t>
  </si>
  <si>
    <t>Pump Profile used in OAPS/AAPS for treatment calculation TBR/SMB, Meal Assist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</si>
</sst>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20" fontId="0" fillId="0" borderId="3" xfId="0" applyNumberFormat="1" applyBorder="1"/>
    <xf numFmtId="20" fontId="0" fillId="0" borderId="5" xfId="0" applyNumberFormat="1" applyBorder="1"/>
    <xf numFmtId="20" fontId="0" fillId="0" borderId="8" xfId="0" applyNumberFormat="1" applyBorder="1"/>
    <xf numFmtId="0" fontId="0" fillId="0" borderId="10" xfId="0" applyBorder="1"/>
    <xf numFmtId="0" fontId="0" fillId="0" borderId="13" xfId="0" applyBorder="1"/>
    <xf numFmtId="1" fontId="0" fillId="0" borderId="14" xfId="0" applyNumberFormat="1" applyBorder="1"/>
    <xf numFmtId="1" fontId="0" fillId="0" borderId="15" xfId="0" applyNumberFormat="1" applyBorder="1"/>
    <xf numFmtId="1" fontId="0" fillId="0" borderId="16" xfId="0" applyNumberFormat="1" applyBorder="1"/>
    <xf numFmtId="0" fontId="0" fillId="2" borderId="10" xfId="0" applyFill="1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8" xfId="0" applyFill="1" applyBorder="1"/>
    <xf numFmtId="0" fontId="0" fillId="2" borderId="2" xfId="0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0" fontId="0" fillId="2" borderId="3" xfId="0" applyFill="1" applyBorder="1"/>
    <xf numFmtId="0" fontId="0" fillId="2" borderId="1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0" fillId="4" borderId="0" xfId="0" applyFill="1"/>
    <xf numFmtId="0" fontId="0" fillId="5" borderId="0" xfId="0" applyFill="1"/>
    <xf numFmtId="9" fontId="0" fillId="0" borderId="1" xfId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" xfId="1" applyNumberFormat="1" applyFont="1" applyBorder="1" applyAlignment="1">
      <alignment vertical="center" wrapText="1"/>
    </xf>
    <xf numFmtId="9" fontId="2" fillId="0" borderId="19" xfId="0" applyNumberFormat="1" applyFont="1" applyBorder="1" applyAlignme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Calculated BG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F217"/>
              </a:solidFill>
            </c:spPr>
          </c:marker>
          <c:xVal>
            <c:numRef>
              <c:f>DataSet!$A$99:$A$387</c:f>
              <c:numCache>
                <c:formatCode>h:mm</c:formatCode>
                <c:ptCount val="289"/>
                <c:pt idx="0">
                  <c:v>0.166666666667345</c:v>
                </c:pt>
                <c:pt idx="1">
                  <c:v>0.17013888888956499</c:v>
                </c:pt>
                <c:pt idx="2">
                  <c:v>0.17361111111178501</c:v>
                </c:pt>
                <c:pt idx="3">
                  <c:v>0.177083333334005</c:v>
                </c:pt>
                <c:pt idx="4">
                  <c:v>0.18055555555622499</c:v>
                </c:pt>
                <c:pt idx="5">
                  <c:v>0.18402777777844401</c:v>
                </c:pt>
                <c:pt idx="6">
                  <c:v>0.187500000000664</c:v>
                </c:pt>
                <c:pt idx="7">
                  <c:v>0.19097222222288401</c:v>
                </c:pt>
                <c:pt idx="8">
                  <c:v>0.194444444445104</c:v>
                </c:pt>
                <c:pt idx="9">
                  <c:v>0.19791666666732399</c:v>
                </c:pt>
                <c:pt idx="10">
                  <c:v>0.20138888888954401</c:v>
                </c:pt>
                <c:pt idx="11">
                  <c:v>0.204861111111764</c:v>
                </c:pt>
                <c:pt idx="12">
                  <c:v>0.20833333333398399</c:v>
                </c:pt>
                <c:pt idx="13">
                  <c:v>0.21180555555620301</c:v>
                </c:pt>
                <c:pt idx="14">
                  <c:v>0.215277777778423</c:v>
                </c:pt>
                <c:pt idx="15">
                  <c:v>0.21875000000064301</c:v>
                </c:pt>
                <c:pt idx="16">
                  <c:v>0.222222222222863</c:v>
                </c:pt>
                <c:pt idx="17">
                  <c:v>0.22569444444508299</c:v>
                </c:pt>
                <c:pt idx="18">
                  <c:v>0.22916666666730301</c:v>
                </c:pt>
                <c:pt idx="19">
                  <c:v>0.232638888889523</c:v>
                </c:pt>
                <c:pt idx="20">
                  <c:v>0.23611111111174299</c:v>
                </c:pt>
                <c:pt idx="21">
                  <c:v>0.23958333333396201</c:v>
                </c:pt>
                <c:pt idx="22">
                  <c:v>0.243055555556182</c:v>
                </c:pt>
                <c:pt idx="23">
                  <c:v>0.24652777777840201</c:v>
                </c:pt>
                <c:pt idx="24">
                  <c:v>0.250000000000622</c:v>
                </c:pt>
                <c:pt idx="25">
                  <c:v>0.25347222222284199</c:v>
                </c:pt>
                <c:pt idx="26">
                  <c:v>0.25694444444506198</c:v>
                </c:pt>
                <c:pt idx="27">
                  <c:v>0.26041666666728203</c:v>
                </c:pt>
                <c:pt idx="28">
                  <c:v>0.26388888888950202</c:v>
                </c:pt>
                <c:pt idx="29">
                  <c:v>0.26736111111172101</c:v>
                </c:pt>
                <c:pt idx="30">
                  <c:v>0.270833333333941</c:v>
                </c:pt>
                <c:pt idx="31">
                  <c:v>0.27430555555616098</c:v>
                </c:pt>
                <c:pt idx="32">
                  <c:v>0.27777777777838097</c:v>
                </c:pt>
                <c:pt idx="33">
                  <c:v>0.28125000000060102</c:v>
                </c:pt>
                <c:pt idx="34">
                  <c:v>0.28472222222282101</c:v>
                </c:pt>
                <c:pt idx="35">
                  <c:v>0.288194444445041</c:v>
                </c:pt>
                <c:pt idx="36">
                  <c:v>0.29166666666726099</c:v>
                </c:pt>
                <c:pt idx="37">
                  <c:v>0.29513888888948098</c:v>
                </c:pt>
                <c:pt idx="38">
                  <c:v>0.29861111111170002</c:v>
                </c:pt>
                <c:pt idx="39">
                  <c:v>0.30208333333392001</c:v>
                </c:pt>
                <c:pt idx="40">
                  <c:v>0.30555555555614</c:v>
                </c:pt>
                <c:pt idx="41">
                  <c:v>0.30902777777835999</c:v>
                </c:pt>
                <c:pt idx="42">
                  <c:v>0.31250000000057998</c:v>
                </c:pt>
                <c:pt idx="43">
                  <c:v>0.31597222222280003</c:v>
                </c:pt>
                <c:pt idx="44">
                  <c:v>0.31944444444502001</c:v>
                </c:pt>
                <c:pt idx="45">
                  <c:v>0.32291666666724</c:v>
                </c:pt>
                <c:pt idx="46">
                  <c:v>0.32638888888945899</c:v>
                </c:pt>
                <c:pt idx="47">
                  <c:v>0.32986111111167898</c:v>
                </c:pt>
                <c:pt idx="48">
                  <c:v>0.33333333333389897</c:v>
                </c:pt>
                <c:pt idx="49">
                  <c:v>0.33680555555611902</c:v>
                </c:pt>
                <c:pt idx="50">
                  <c:v>0.34027777777833901</c:v>
                </c:pt>
                <c:pt idx="51">
                  <c:v>0.343750000000559</c:v>
                </c:pt>
                <c:pt idx="52">
                  <c:v>0.34722222222277899</c:v>
                </c:pt>
                <c:pt idx="53">
                  <c:v>0.35069444444499898</c:v>
                </c:pt>
                <c:pt idx="54">
                  <c:v>0.35416666666721802</c:v>
                </c:pt>
                <c:pt idx="55">
                  <c:v>0.35763888888943801</c:v>
                </c:pt>
                <c:pt idx="56">
                  <c:v>0.361111111111658</c:v>
                </c:pt>
                <c:pt idx="57">
                  <c:v>0.36458333333387799</c:v>
                </c:pt>
                <c:pt idx="58">
                  <c:v>0.36805555555609798</c:v>
                </c:pt>
                <c:pt idx="59">
                  <c:v>0.37152777777831802</c:v>
                </c:pt>
                <c:pt idx="60">
                  <c:v>0.37500000000053801</c:v>
                </c:pt>
                <c:pt idx="61">
                  <c:v>0.378472222222758</c:v>
                </c:pt>
                <c:pt idx="62">
                  <c:v>0.38194444444497699</c:v>
                </c:pt>
                <c:pt idx="63">
                  <c:v>0.38541666666719698</c:v>
                </c:pt>
                <c:pt idx="64">
                  <c:v>0.38888888888941697</c:v>
                </c:pt>
                <c:pt idx="65">
                  <c:v>0.39236111111163702</c:v>
                </c:pt>
                <c:pt idx="66">
                  <c:v>0.39583333333385701</c:v>
                </c:pt>
                <c:pt idx="67">
                  <c:v>0.399305555556077</c:v>
                </c:pt>
                <c:pt idx="68">
                  <c:v>0.40277777777829699</c:v>
                </c:pt>
                <c:pt idx="69">
                  <c:v>0.40625000000051698</c:v>
                </c:pt>
                <c:pt idx="70">
                  <c:v>0.40972222222273702</c:v>
                </c:pt>
                <c:pt idx="71">
                  <c:v>0.41319444444495601</c:v>
                </c:pt>
                <c:pt idx="72">
                  <c:v>0.416666666667176</c:v>
                </c:pt>
                <c:pt idx="73">
                  <c:v>0.42013888888939599</c:v>
                </c:pt>
                <c:pt idx="74">
                  <c:v>0.42361111111161598</c:v>
                </c:pt>
                <c:pt idx="75">
                  <c:v>0.42708333333383602</c:v>
                </c:pt>
                <c:pt idx="76">
                  <c:v>0.43055555555605601</c:v>
                </c:pt>
                <c:pt idx="77">
                  <c:v>0.434027777778276</c:v>
                </c:pt>
                <c:pt idx="78">
                  <c:v>0.43750000000049599</c:v>
                </c:pt>
                <c:pt idx="79">
                  <c:v>0.44097222222271498</c:v>
                </c:pt>
                <c:pt idx="80">
                  <c:v>0.44444444444493503</c:v>
                </c:pt>
                <c:pt idx="81">
                  <c:v>0.44791666666715502</c:v>
                </c:pt>
                <c:pt idx="82">
                  <c:v>0.45138888888937501</c:v>
                </c:pt>
                <c:pt idx="83">
                  <c:v>0.454861111111595</c:v>
                </c:pt>
                <c:pt idx="84">
                  <c:v>0.45833333333381499</c:v>
                </c:pt>
                <c:pt idx="85">
                  <c:v>0.46180555555603497</c:v>
                </c:pt>
                <c:pt idx="86">
                  <c:v>0.46527777777825502</c:v>
                </c:pt>
                <c:pt idx="87">
                  <c:v>0.46875000000047401</c:v>
                </c:pt>
                <c:pt idx="88">
                  <c:v>0.472222222222694</c:v>
                </c:pt>
                <c:pt idx="89">
                  <c:v>0.47569444444491399</c:v>
                </c:pt>
                <c:pt idx="90">
                  <c:v>0.47916666666713398</c:v>
                </c:pt>
                <c:pt idx="91">
                  <c:v>0.48263888888935402</c:v>
                </c:pt>
                <c:pt idx="92">
                  <c:v>0.48611111111157401</c:v>
                </c:pt>
                <c:pt idx="93">
                  <c:v>0.489583333333794</c:v>
                </c:pt>
                <c:pt idx="94">
                  <c:v>0.49305555555601399</c:v>
                </c:pt>
                <c:pt idx="95">
                  <c:v>0.49652777777823298</c:v>
                </c:pt>
                <c:pt idx="96">
                  <c:v>0.50000000000045297</c:v>
                </c:pt>
                <c:pt idx="97">
                  <c:v>0.50347222222267296</c:v>
                </c:pt>
                <c:pt idx="98">
                  <c:v>0.50694444444489295</c:v>
                </c:pt>
                <c:pt idx="99">
                  <c:v>0.51041666666711305</c:v>
                </c:pt>
                <c:pt idx="100">
                  <c:v>0.51388888888933304</c:v>
                </c:pt>
                <c:pt idx="101">
                  <c:v>0.51736111111155303</c:v>
                </c:pt>
                <c:pt idx="102">
                  <c:v>0.52083333333377302</c:v>
                </c:pt>
                <c:pt idx="103">
                  <c:v>0.52430555555599201</c:v>
                </c:pt>
                <c:pt idx="104">
                  <c:v>0.527777777778212</c:v>
                </c:pt>
                <c:pt idx="105">
                  <c:v>0.53125000000043199</c:v>
                </c:pt>
                <c:pt idx="106">
                  <c:v>0.53472222222265198</c:v>
                </c:pt>
                <c:pt idx="107">
                  <c:v>0.53819444444487197</c:v>
                </c:pt>
                <c:pt idx="108">
                  <c:v>0.54166666666709196</c:v>
                </c:pt>
                <c:pt idx="109">
                  <c:v>0.54513888888931195</c:v>
                </c:pt>
                <c:pt idx="110">
                  <c:v>0.54861111111153205</c:v>
                </c:pt>
                <c:pt idx="111">
                  <c:v>0.55208333333375204</c:v>
                </c:pt>
                <c:pt idx="112">
                  <c:v>0.55555555555597103</c:v>
                </c:pt>
                <c:pt idx="113">
                  <c:v>0.55902777777819102</c:v>
                </c:pt>
                <c:pt idx="114">
                  <c:v>0.562500000000411</c:v>
                </c:pt>
                <c:pt idx="115">
                  <c:v>0.56597222222263099</c:v>
                </c:pt>
                <c:pt idx="116">
                  <c:v>0.56944444444485098</c:v>
                </c:pt>
                <c:pt idx="117">
                  <c:v>0.57291666666707097</c:v>
                </c:pt>
                <c:pt idx="118">
                  <c:v>0.57638888888929096</c:v>
                </c:pt>
                <c:pt idx="119">
                  <c:v>0.57986111111151095</c:v>
                </c:pt>
                <c:pt idx="120">
                  <c:v>0.58333333333373005</c:v>
                </c:pt>
                <c:pt idx="121">
                  <c:v>0.58680555555595004</c:v>
                </c:pt>
                <c:pt idx="122">
                  <c:v>0.59027777777817003</c:v>
                </c:pt>
                <c:pt idx="123">
                  <c:v>0.59375000000039002</c:v>
                </c:pt>
                <c:pt idx="124">
                  <c:v>0.59722222222261001</c:v>
                </c:pt>
                <c:pt idx="125">
                  <c:v>0.60069444444483</c:v>
                </c:pt>
                <c:pt idx="126">
                  <c:v>0.60416666666704999</c:v>
                </c:pt>
                <c:pt idx="127">
                  <c:v>0.60763888888926998</c:v>
                </c:pt>
                <c:pt idx="128">
                  <c:v>0.61111111111148897</c:v>
                </c:pt>
                <c:pt idx="129">
                  <c:v>0.61458333333370896</c:v>
                </c:pt>
                <c:pt idx="130">
                  <c:v>0.61805555555592895</c:v>
                </c:pt>
                <c:pt idx="131">
                  <c:v>0.62152777777814905</c:v>
                </c:pt>
                <c:pt idx="132">
                  <c:v>0.62500000000036904</c:v>
                </c:pt>
                <c:pt idx="133">
                  <c:v>0.62847222222258903</c:v>
                </c:pt>
                <c:pt idx="134">
                  <c:v>0.63194444444480902</c:v>
                </c:pt>
                <c:pt idx="135">
                  <c:v>0.63541666666702901</c:v>
                </c:pt>
                <c:pt idx="136">
                  <c:v>0.638888888889248</c:v>
                </c:pt>
                <c:pt idx="137">
                  <c:v>0.64236111111146799</c:v>
                </c:pt>
                <c:pt idx="138">
                  <c:v>0.64583333333368798</c:v>
                </c:pt>
                <c:pt idx="139">
                  <c:v>0.64930555555590797</c:v>
                </c:pt>
                <c:pt idx="140">
                  <c:v>0.65277777777812795</c:v>
                </c:pt>
                <c:pt idx="141">
                  <c:v>0.65625000000034805</c:v>
                </c:pt>
                <c:pt idx="142">
                  <c:v>0.65972222222256804</c:v>
                </c:pt>
                <c:pt idx="143">
                  <c:v>0.66319444444478803</c:v>
                </c:pt>
                <c:pt idx="144">
                  <c:v>0.66666666666700802</c:v>
                </c:pt>
                <c:pt idx="145">
                  <c:v>0.67013888888922701</c:v>
                </c:pt>
                <c:pt idx="146">
                  <c:v>0.673611111111447</c:v>
                </c:pt>
                <c:pt idx="147">
                  <c:v>0.67708333333366699</c:v>
                </c:pt>
                <c:pt idx="148">
                  <c:v>0.68055555555588698</c:v>
                </c:pt>
                <c:pt idx="149">
                  <c:v>0.68402777777810697</c:v>
                </c:pt>
                <c:pt idx="150">
                  <c:v>0.68750000000032696</c:v>
                </c:pt>
                <c:pt idx="151">
                  <c:v>0.69097222222254695</c:v>
                </c:pt>
                <c:pt idx="152">
                  <c:v>0.69444444444476705</c:v>
                </c:pt>
                <c:pt idx="153">
                  <c:v>0.69791666666698604</c:v>
                </c:pt>
                <c:pt idx="154">
                  <c:v>0.70138888888920603</c:v>
                </c:pt>
                <c:pt idx="155">
                  <c:v>0.70486111111142602</c:v>
                </c:pt>
                <c:pt idx="156">
                  <c:v>0.70833333333364601</c:v>
                </c:pt>
                <c:pt idx="157">
                  <c:v>0.711805555555866</c:v>
                </c:pt>
                <c:pt idx="158">
                  <c:v>0.71527777777808599</c:v>
                </c:pt>
                <c:pt idx="159">
                  <c:v>0.71875000000030598</c:v>
                </c:pt>
                <c:pt idx="160">
                  <c:v>0.72222222222252597</c:v>
                </c:pt>
                <c:pt idx="161">
                  <c:v>0.72569444444474496</c:v>
                </c:pt>
                <c:pt idx="162">
                  <c:v>0.72916666666696495</c:v>
                </c:pt>
                <c:pt idx="163">
                  <c:v>0.73263888888918505</c:v>
                </c:pt>
                <c:pt idx="164">
                  <c:v>0.73611111111140504</c:v>
                </c:pt>
                <c:pt idx="165">
                  <c:v>0.73958333333362503</c:v>
                </c:pt>
                <c:pt idx="166">
                  <c:v>0.74305555555584502</c:v>
                </c:pt>
                <c:pt idx="167">
                  <c:v>0.746527777778065</c:v>
                </c:pt>
                <c:pt idx="168">
                  <c:v>0.75000000000028499</c:v>
                </c:pt>
                <c:pt idx="169">
                  <c:v>0.75347222222250398</c:v>
                </c:pt>
                <c:pt idx="170">
                  <c:v>0.75694444444472397</c:v>
                </c:pt>
                <c:pt idx="171">
                  <c:v>0.76041666666694396</c:v>
                </c:pt>
                <c:pt idx="172">
                  <c:v>0.76388888888916395</c:v>
                </c:pt>
                <c:pt idx="173">
                  <c:v>0.76736111111138405</c:v>
                </c:pt>
                <c:pt idx="174">
                  <c:v>0.77083333333360404</c:v>
                </c:pt>
                <c:pt idx="175">
                  <c:v>0.77430555555582403</c:v>
                </c:pt>
                <c:pt idx="176">
                  <c:v>0.77777777777804402</c:v>
                </c:pt>
                <c:pt idx="177">
                  <c:v>0.78125000000026301</c:v>
                </c:pt>
                <c:pt idx="178">
                  <c:v>0.784722222222483</c:v>
                </c:pt>
                <c:pt idx="179">
                  <c:v>0.78819444444470299</c:v>
                </c:pt>
                <c:pt idx="180">
                  <c:v>0.79166666666692298</c:v>
                </c:pt>
                <c:pt idx="181">
                  <c:v>0.79513888888914297</c:v>
                </c:pt>
                <c:pt idx="182">
                  <c:v>0.79861111111136296</c:v>
                </c:pt>
                <c:pt idx="183">
                  <c:v>0.80208333333358295</c:v>
                </c:pt>
                <c:pt idx="184">
                  <c:v>0.80555555555580305</c:v>
                </c:pt>
                <c:pt idx="185">
                  <c:v>0.80902777777802304</c:v>
                </c:pt>
                <c:pt idx="186">
                  <c:v>0.81250000000024203</c:v>
                </c:pt>
                <c:pt idx="187">
                  <c:v>0.81597222222246202</c:v>
                </c:pt>
                <c:pt idx="188">
                  <c:v>0.81944444444468201</c:v>
                </c:pt>
                <c:pt idx="189">
                  <c:v>0.822916666666902</c:v>
                </c:pt>
                <c:pt idx="190">
                  <c:v>0.82638888888912199</c:v>
                </c:pt>
                <c:pt idx="191">
                  <c:v>0.82986111111134198</c:v>
                </c:pt>
                <c:pt idx="192">
                  <c:v>0.83333333333356197</c:v>
                </c:pt>
                <c:pt idx="193">
                  <c:v>0.83680555555578195</c:v>
                </c:pt>
                <c:pt idx="194">
                  <c:v>0.84027777777800094</c:v>
                </c:pt>
                <c:pt idx="195">
                  <c:v>0.84375000000022105</c:v>
                </c:pt>
                <c:pt idx="196">
                  <c:v>0.84722222222244103</c:v>
                </c:pt>
                <c:pt idx="197">
                  <c:v>0.85069444444466102</c:v>
                </c:pt>
                <c:pt idx="198">
                  <c:v>0.85416666666688101</c:v>
                </c:pt>
                <c:pt idx="199">
                  <c:v>0.857638888889101</c:v>
                </c:pt>
                <c:pt idx="200">
                  <c:v>0.86111111111132099</c:v>
                </c:pt>
                <c:pt idx="201">
                  <c:v>0.86458333333354098</c:v>
                </c:pt>
                <c:pt idx="202">
                  <c:v>0.86805555555575997</c:v>
                </c:pt>
                <c:pt idx="203">
                  <c:v>0.87152777777797996</c:v>
                </c:pt>
                <c:pt idx="204">
                  <c:v>0.87500000000019995</c:v>
                </c:pt>
                <c:pt idx="205">
                  <c:v>0.87847222222242005</c:v>
                </c:pt>
                <c:pt idx="206">
                  <c:v>0.88194444444464004</c:v>
                </c:pt>
                <c:pt idx="207">
                  <c:v>0.88541666666686003</c:v>
                </c:pt>
                <c:pt idx="208">
                  <c:v>0.88888888888908002</c:v>
                </c:pt>
                <c:pt idx="209">
                  <c:v>0.89236111111130001</c:v>
                </c:pt>
                <c:pt idx="210">
                  <c:v>0.895833333333519</c:v>
                </c:pt>
                <c:pt idx="211">
                  <c:v>0.89930555555573899</c:v>
                </c:pt>
                <c:pt idx="212">
                  <c:v>0.90277777777795898</c:v>
                </c:pt>
                <c:pt idx="213">
                  <c:v>0.90625000000017897</c:v>
                </c:pt>
                <c:pt idx="214">
                  <c:v>0.90972222222239896</c:v>
                </c:pt>
                <c:pt idx="215">
                  <c:v>0.91319444444461895</c:v>
                </c:pt>
                <c:pt idx="216">
                  <c:v>0.91666666666683905</c:v>
                </c:pt>
                <c:pt idx="217">
                  <c:v>0.92013888888905904</c:v>
                </c:pt>
                <c:pt idx="218">
                  <c:v>0.92361111111127903</c:v>
                </c:pt>
                <c:pt idx="219">
                  <c:v>0.92708333333349802</c:v>
                </c:pt>
                <c:pt idx="220">
                  <c:v>0.93055555555571801</c:v>
                </c:pt>
                <c:pt idx="221">
                  <c:v>0.934027777777938</c:v>
                </c:pt>
                <c:pt idx="222">
                  <c:v>0.93750000000015798</c:v>
                </c:pt>
                <c:pt idx="223">
                  <c:v>0.94097222222237797</c:v>
                </c:pt>
                <c:pt idx="224">
                  <c:v>0.94444444444459796</c:v>
                </c:pt>
                <c:pt idx="225">
                  <c:v>0.94791666666681795</c:v>
                </c:pt>
                <c:pt idx="226">
                  <c:v>0.95138888888903805</c:v>
                </c:pt>
                <c:pt idx="227">
                  <c:v>0.95486111111125704</c:v>
                </c:pt>
                <c:pt idx="228">
                  <c:v>0.95833333333347703</c:v>
                </c:pt>
                <c:pt idx="229">
                  <c:v>0.96180555555569702</c:v>
                </c:pt>
                <c:pt idx="230">
                  <c:v>0.96527777777791701</c:v>
                </c:pt>
                <c:pt idx="231">
                  <c:v>0.968750000000137</c:v>
                </c:pt>
                <c:pt idx="232">
                  <c:v>0.97222222222235699</c:v>
                </c:pt>
                <c:pt idx="233">
                  <c:v>0.97569444444457698</c:v>
                </c:pt>
                <c:pt idx="234">
                  <c:v>0.97916666666679697</c:v>
                </c:pt>
                <c:pt idx="235">
                  <c:v>0.98263888888901596</c:v>
                </c:pt>
                <c:pt idx="236">
                  <c:v>0.98611111111123595</c:v>
                </c:pt>
                <c:pt idx="237">
                  <c:v>0.98958333333345605</c:v>
                </c:pt>
                <c:pt idx="238">
                  <c:v>0.99305555555567604</c:v>
                </c:pt>
                <c:pt idx="239">
                  <c:v>0.99652777777789603</c:v>
                </c:pt>
                <c:pt idx="240">
                  <c:v>1.0000000000001199</c:v>
                </c:pt>
                <c:pt idx="241">
                  <c:v>1.00347222222234</c:v>
                </c:pt>
                <c:pt idx="242">
                  <c:v>1.0069444444445601</c:v>
                </c:pt>
                <c:pt idx="243">
                  <c:v>1.01041666666678</c:v>
                </c:pt>
                <c:pt idx="244">
                  <c:v>1.0138888888889901</c:v>
                </c:pt>
                <c:pt idx="245">
                  <c:v>1.01736111111122</c:v>
                </c:pt>
                <c:pt idx="246">
                  <c:v>1.0208333333334401</c:v>
                </c:pt>
                <c:pt idx="247">
                  <c:v>1.0243055555556599</c:v>
                </c:pt>
                <c:pt idx="248">
                  <c:v>1.02777777777788</c:v>
                </c:pt>
                <c:pt idx="249">
                  <c:v>1.0312500000000999</c:v>
                </c:pt>
                <c:pt idx="250">
                  <c:v>1.03472222222232</c:v>
                </c:pt>
                <c:pt idx="251">
                  <c:v>1.0381944444445299</c:v>
                </c:pt>
                <c:pt idx="252">
                  <c:v>1.04166666666675</c:v>
                </c:pt>
                <c:pt idx="253">
                  <c:v>1.0451388888889701</c:v>
                </c:pt>
                <c:pt idx="254">
                  <c:v>1.04861111111119</c:v>
                </c:pt>
                <c:pt idx="255">
                  <c:v>1.0520833333334101</c:v>
                </c:pt>
                <c:pt idx="256">
                  <c:v>1.05555555555563</c:v>
                </c:pt>
                <c:pt idx="257">
                  <c:v>1.0590277777778501</c:v>
                </c:pt>
                <c:pt idx="258">
                  <c:v>1.0625000000000699</c:v>
                </c:pt>
                <c:pt idx="259">
                  <c:v>1.06597222222229</c:v>
                </c:pt>
                <c:pt idx="260">
                  <c:v>1.0694444444445099</c:v>
                </c:pt>
                <c:pt idx="261">
                  <c:v>1.07291666666673</c:v>
                </c:pt>
                <c:pt idx="262">
                  <c:v>1.0763888888889499</c:v>
                </c:pt>
                <c:pt idx="263">
                  <c:v>1.07986111111117</c:v>
                </c:pt>
                <c:pt idx="264">
                  <c:v>1.0833333333333901</c:v>
                </c:pt>
                <c:pt idx="265">
                  <c:v>1.08680555555561</c:v>
                </c:pt>
                <c:pt idx="266">
                  <c:v>1.0902777777778301</c:v>
                </c:pt>
                <c:pt idx="267">
                  <c:v>1.09375000000005</c:v>
                </c:pt>
                <c:pt idx="268">
                  <c:v>1.0972222222222701</c:v>
                </c:pt>
                <c:pt idx="269">
                  <c:v>1.1006944444444899</c:v>
                </c:pt>
                <c:pt idx="270">
                  <c:v>1.10416666666671</c:v>
                </c:pt>
                <c:pt idx="271">
                  <c:v>1.1076388888889299</c:v>
                </c:pt>
                <c:pt idx="272">
                  <c:v>1.11111111111115</c:v>
                </c:pt>
                <c:pt idx="273">
                  <c:v>1.1145833333333699</c:v>
                </c:pt>
                <c:pt idx="274">
                  <c:v>1.11805555555559</c:v>
                </c:pt>
                <c:pt idx="275">
                  <c:v>1.1215277777778101</c:v>
                </c:pt>
                <c:pt idx="276">
                  <c:v>1.12500000000003</c:v>
                </c:pt>
                <c:pt idx="277">
                  <c:v>1.1284722222222501</c:v>
                </c:pt>
                <c:pt idx="278">
                  <c:v>1.13194444444447</c:v>
                </c:pt>
                <c:pt idx="279">
                  <c:v>1.1354166666666901</c:v>
                </c:pt>
                <c:pt idx="280">
                  <c:v>1.1388888888889099</c:v>
                </c:pt>
                <c:pt idx="281">
                  <c:v>1.14236111111113</c:v>
                </c:pt>
                <c:pt idx="282">
                  <c:v>1.1458333333333499</c:v>
                </c:pt>
                <c:pt idx="283">
                  <c:v>1.14930555555557</c:v>
                </c:pt>
                <c:pt idx="284">
                  <c:v>1.1527777777777899</c:v>
                </c:pt>
                <c:pt idx="285">
                  <c:v>1.15625000000001</c:v>
                </c:pt>
                <c:pt idx="286">
                  <c:v>1.1597222222222301</c:v>
                </c:pt>
                <c:pt idx="287">
                  <c:v>1.16319444444445</c:v>
                </c:pt>
                <c:pt idx="288">
                  <c:v>1.1666666666666701</c:v>
                </c:pt>
              </c:numCache>
            </c:numRef>
          </c:xVal>
          <c:yVal>
            <c:numRef>
              <c:f>DataSet!$Q$99:$Q$387</c:f>
              <c:numCache>
                <c:formatCode>General</c:formatCode>
                <c:ptCount val="289"/>
                <c:pt idx="0">
                  <c:v>100</c:v>
                </c:pt>
                <c:pt idx="1">
                  <c:v>99.774967739727956</c:v>
                </c:pt>
                <c:pt idx="2">
                  <c:v>99.573792810119429</c:v>
                </c:pt>
                <c:pt idx="3">
                  <c:v>99.396956082116148</c:v>
                </c:pt>
                <c:pt idx="4">
                  <c:v>99.244790081341534</c:v>
                </c:pt>
                <c:pt idx="5">
                  <c:v>99.117493648320632</c:v>
                </c:pt>
                <c:pt idx="6">
                  <c:v>99.015145488308733</c:v>
                </c:pt>
                <c:pt idx="7">
                  <c:v>98.937716684613122</c:v>
                </c:pt>
                <c:pt idx="8">
                  <c:v>98.885082244747593</c:v>
                </c:pt>
                <c:pt idx="9">
                  <c:v>98.857031744479485</c:v>
                </c:pt>
                <c:pt idx="10">
                  <c:v>98.853279130799692</c:v>
                </c:pt>
                <c:pt idx="11">
                  <c:v>98.873471741052384</c:v>
                </c:pt>
                <c:pt idx="12">
                  <c:v>98.917198591890866</c:v>
                </c:pt>
                <c:pt idx="13">
                  <c:v>98.982475146583965</c:v>
                </c:pt>
                <c:pt idx="14">
                  <c:v>99.067432190208763</c:v>
                </c:pt>
                <c:pt idx="15">
                  <c:v>99.170310107601296</c:v>
                </c:pt>
                <c:pt idx="16">
                  <c:v>99.289453416782322</c:v>
                </c:pt>
                <c:pt idx="17">
                  <c:v>99.423305547506914</c:v>
                </c:pt>
                <c:pt idx="18">
                  <c:v>99.570403854957917</c:v>
                </c:pt>
                <c:pt idx="19">
                  <c:v>99.729374858964647</c:v>
                </c:pt>
                <c:pt idx="20">
                  <c:v>99.898929699478202</c:v>
                </c:pt>
                <c:pt idx="21">
                  <c:v>100.07785979937461</c:v>
                </c:pt>
                <c:pt idx="22">
                  <c:v>100.26503272598667</c:v>
                </c:pt>
                <c:pt idx="23">
                  <c:v>100.45938824308462</c:v>
                </c:pt>
                <c:pt idx="24">
                  <c:v>100.65993454533525</c:v>
                </c:pt>
                <c:pt idx="25">
                  <c:v>100.86364017746709</c:v>
                </c:pt>
                <c:pt idx="26">
                  <c:v>101.06778229873613</c:v>
                </c:pt>
                <c:pt idx="27">
                  <c:v>101.26992311284852</c:v>
                </c:pt>
                <c:pt idx="28">
                  <c:v>101.46788787116621</c:v>
                </c:pt>
                <c:pt idx="29">
                  <c:v>101.65974435229022</c:v>
                </c:pt>
                <c:pt idx="30">
                  <c:v>101.8437837267701</c:v>
                </c:pt>
                <c:pt idx="31">
                  <c:v>102.01850272102641</c:v>
                </c:pt>
                <c:pt idx="32">
                  <c:v>102.18258699961009</c:v>
                </c:pt>
                <c:pt idx="33">
                  <c:v>102.33489568967634</c:v>
                </c:pt>
                <c:pt idx="34">
                  <c:v>102.47444697603622</c:v>
                </c:pt>
                <c:pt idx="35">
                  <c:v>102.60040469938147</c:v>
                </c:pt>
                <c:pt idx="36">
                  <c:v>102.71206589427014</c:v>
                </c:pt>
                <c:pt idx="37">
                  <c:v>104.87117973543009</c:v>
                </c:pt>
                <c:pt idx="38">
                  <c:v>108.67707517164845</c:v>
                </c:pt>
                <c:pt idx="39">
                  <c:v>113.77839516375354</c:v>
                </c:pt>
                <c:pt idx="40">
                  <c:v>119.86822077598499</c:v>
                </c:pt>
                <c:pt idx="41">
                  <c:v>126.67961863370758</c:v>
                </c:pt>
                <c:pt idx="42">
                  <c:v>133.98157802298672</c:v>
                </c:pt>
                <c:pt idx="43">
                  <c:v>141.57530643443988</c:v>
                </c:pt>
                <c:pt idx="44">
                  <c:v>149.29085469977235</c:v>
                </c:pt>
                <c:pt idx="45">
                  <c:v>156.98404504700295</c:v>
                </c:pt>
                <c:pt idx="46">
                  <c:v>164.53367742124811</c:v>
                </c:pt>
                <c:pt idx="47">
                  <c:v>171.83899129294025</c:v>
                </c:pt>
                <c:pt idx="48">
                  <c:v>178.81736191465262</c:v>
                </c:pt>
                <c:pt idx="49">
                  <c:v>185.40210851273071</c:v>
                </c:pt>
                <c:pt idx="50">
                  <c:v>191.54073008135987</c:v>
                </c:pt>
                <c:pt idx="51">
                  <c:v>197.19319171472097</c:v>
                </c:pt>
                <c:pt idx="52">
                  <c:v>202.33037643726433</c:v>
                </c:pt>
                <c:pt idx="53">
                  <c:v>206.93268844915903</c:v>
                </c:pt>
                <c:pt idx="54">
                  <c:v>210.98879480758558</c:v>
                </c:pt>
                <c:pt idx="55">
                  <c:v>214.49449358654681</c:v>
                </c:pt>
                <c:pt idx="56">
                  <c:v>217.45169750405125</c:v>
                </c:pt>
                <c:pt idx="57">
                  <c:v>219.86752288126121</c:v>
                </c:pt>
                <c:pt idx="58">
                  <c:v>221.75347460850634</c:v>
                </c:pt>
                <c:pt idx="59">
                  <c:v>223.12471854261477</c:v>
                </c:pt>
                <c:pt idx="60">
                  <c:v>223.99943345315222</c:v>
                </c:pt>
                <c:pt idx="61">
                  <c:v>224.39825622857123</c:v>
                </c:pt>
                <c:pt idx="62">
                  <c:v>224.34374967034012</c:v>
                </c:pt>
                <c:pt idx="63">
                  <c:v>223.85995199281609</c:v>
                </c:pt>
                <c:pt idx="64">
                  <c:v>222.97198028202806</c:v>
                </c:pt>
                <c:pt idx="65">
                  <c:v>221.7056827825638</c:v>
                </c:pt>
                <c:pt idx="66">
                  <c:v>220.08733531226994</c:v>
                </c:pt>
                <c:pt idx="67">
                  <c:v>218.14337750164242</c:v>
                </c:pt>
                <c:pt idx="68">
                  <c:v>215.90018492105196</c:v>
                </c:pt>
                <c:pt idx="69">
                  <c:v>213.38387349658493</c:v>
                </c:pt>
                <c:pt idx="70">
                  <c:v>210.62013292639233</c:v>
                </c:pt>
                <c:pt idx="71">
                  <c:v>207.63408609599395</c:v>
                </c:pt>
                <c:pt idx="72">
                  <c:v>204.45017175480024</c:v>
                </c:pt>
                <c:pt idx="73">
                  <c:v>201.09196414834267</c:v>
                </c:pt>
                <c:pt idx="74">
                  <c:v>197.58218342444849</c:v>
                </c:pt>
                <c:pt idx="75">
                  <c:v>193.94263386645946</c:v>
                </c:pt>
                <c:pt idx="76">
                  <c:v>190.19415667466498</c:v>
                </c:pt>
                <c:pt idx="77">
                  <c:v>186.35659559211661</c:v>
                </c:pt>
                <c:pt idx="78">
                  <c:v>182.4487738299417</c:v>
                </c:pt>
                <c:pt idx="79">
                  <c:v>178.48848089308822</c:v>
                </c:pt>
                <c:pt idx="80">
                  <c:v>174.49246804111382</c:v>
                </c:pt>
                <c:pt idx="81">
                  <c:v>170.47645124111421</c:v>
                </c:pt>
                <c:pt idx="82">
                  <c:v>166.45512058203184</c:v>
                </c:pt>
                <c:pt idx="83">
                  <c:v>162.44215522219972</c:v>
                </c:pt>
                <c:pt idx="84">
                  <c:v>158.45024303579655</c:v>
                </c:pt>
                <c:pt idx="85">
                  <c:v>154.88107079557241</c:v>
                </c:pt>
                <c:pt idx="86">
                  <c:v>151.71817800939579</c:v>
                </c:pt>
                <c:pt idx="87">
                  <c:v>148.94517673118787</c:v>
                </c:pt>
                <c:pt idx="88">
                  <c:v>146.5458006905703</c:v>
                </c:pt>
                <c:pt idx="89">
                  <c:v>144.50394895627443</c:v>
                </c:pt>
                <c:pt idx="90">
                  <c:v>142.80372456169732</c:v>
                </c:pt>
                <c:pt idx="91">
                  <c:v>141.4294684920753</c:v>
                </c:pt>
                <c:pt idx="92">
                  <c:v>140.3657894056235</c:v>
                </c:pt>
                <c:pt idx="93">
                  <c:v>139.59758943555363</c:v>
                </c:pt>
                <c:pt idx="94">
                  <c:v>139.11008639603304</c:v>
                </c:pt>
                <c:pt idx="95">
                  <c:v>138.8888326927933</c:v>
                </c:pt>
                <c:pt idx="96">
                  <c:v>138.9197312181474</c:v>
                </c:pt>
                <c:pt idx="97">
                  <c:v>140.33735016862192</c:v>
                </c:pt>
                <c:pt idx="98">
                  <c:v>142.83526143715162</c:v>
                </c:pt>
                <c:pt idx="99">
                  <c:v>146.14966504557236</c:v>
                </c:pt>
                <c:pt idx="100">
                  <c:v>150.05467724346113</c:v>
                </c:pt>
                <c:pt idx="101">
                  <c:v>154.35807265686387</c:v>
                </c:pt>
                <c:pt idx="102">
                  <c:v>158.89744049952895</c:v>
                </c:pt>
                <c:pt idx="103">
                  <c:v>163.53671816660363</c:v>
                </c:pt>
                <c:pt idx="104">
                  <c:v>168.16306857677617</c:v>
                </c:pt>
                <c:pt idx="105">
                  <c:v>172.68407043350609</c:v>
                </c:pt>
                <c:pt idx="106">
                  <c:v>177.02519315774003</c:v>
                </c:pt>
                <c:pt idx="107">
                  <c:v>181.12753062045329</c:v>
                </c:pt>
                <c:pt idx="108">
                  <c:v>184.94576998929981</c:v>
                </c:pt>
                <c:pt idx="109">
                  <c:v>188.44664472333861</c:v>
                </c:pt>
                <c:pt idx="110">
                  <c:v>191.60700611184532</c:v>
                </c:pt>
                <c:pt idx="111">
                  <c:v>194.41237751190349</c:v>
                </c:pt>
                <c:pt idx="112">
                  <c:v>196.85566730279632</c:v>
                </c:pt>
                <c:pt idx="113">
                  <c:v>198.93602543985247</c:v>
                </c:pt>
                <c:pt idx="114">
                  <c:v>200.65782980721923</c:v>
                </c:pt>
                <c:pt idx="115">
                  <c:v>202.0297897779557</c:v>
                </c:pt>
                <c:pt idx="116">
                  <c:v>203.06415549931273</c:v>
                </c:pt>
                <c:pt idx="117">
                  <c:v>203.77602243891656</c:v>
                </c:pt>
                <c:pt idx="118">
                  <c:v>204.18272166102247</c:v>
                </c:pt>
                <c:pt idx="119">
                  <c:v>204.30328715772794</c:v>
                </c:pt>
                <c:pt idx="120">
                  <c:v>204.15799234419518</c:v>
                </c:pt>
                <c:pt idx="121">
                  <c:v>203.76794854522419</c:v>
                </c:pt>
                <c:pt idx="122">
                  <c:v>203.15475895819628</c:v>
                </c:pt>
                <c:pt idx="123">
                  <c:v>202.34022217932596</c:v>
                </c:pt>
                <c:pt idx="124">
                  <c:v>201.34607993079479</c:v>
                </c:pt>
                <c:pt idx="125">
                  <c:v>200.19380412982827</c:v>
                </c:pt>
                <c:pt idx="126">
                  <c:v>198.90441890092788</c:v>
                </c:pt>
                <c:pt idx="127">
                  <c:v>197.4983535528016</c:v>
                </c:pt>
                <c:pt idx="128">
                  <c:v>195.99532292529295</c:v>
                </c:pt>
                <c:pt idx="129">
                  <c:v>194.41423186177857</c:v>
                </c:pt>
                <c:pt idx="130">
                  <c:v>192.77310088184717</c:v>
                </c:pt>
                <c:pt idx="131">
                  <c:v>191.08901042012471</c:v>
                </c:pt>
                <c:pt idx="132">
                  <c:v>189.3780612622171</c:v>
                </c:pt>
                <c:pt idx="133">
                  <c:v>187.65534905005416</c:v>
                </c:pt>
                <c:pt idx="134">
                  <c:v>185.9349509484249</c:v>
                </c:pt>
                <c:pt idx="135">
                  <c:v>184.22992276402218</c:v>
                </c:pt>
                <c:pt idx="136">
                  <c:v>182.55230498954427</c:v>
                </c:pt>
                <c:pt idx="137">
                  <c:v>180.91313640988426</c:v>
                </c:pt>
                <c:pt idx="138">
                  <c:v>179.32247405659425</c:v>
                </c:pt>
                <c:pt idx="139">
                  <c:v>177.78941843195409</c:v>
                </c:pt>
                <c:pt idx="140">
                  <c:v>176.322143046305</c:v>
                </c:pt>
                <c:pt idx="141">
                  <c:v>174.92792742293395</c:v>
                </c:pt>
                <c:pt idx="142">
                  <c:v>173.61319282473252</c:v>
                </c:pt>
                <c:pt idx="143">
                  <c:v>172.38354004703686</c:v>
                </c:pt>
                <c:pt idx="144">
                  <c:v>171.24378870234051</c:v>
                </c:pt>
                <c:pt idx="145">
                  <c:v>170.19714251052125</c:v>
                </c:pt>
                <c:pt idx="146">
                  <c:v>169.24620955947032</c:v>
                </c:pt>
                <c:pt idx="147">
                  <c:v>168.39303465454378</c:v>
                </c:pt>
                <c:pt idx="148">
                  <c:v>167.63913213297667</c:v>
                </c:pt>
                <c:pt idx="149">
                  <c:v>166.98551882835696</c:v>
                </c:pt>
                <c:pt idx="150">
                  <c:v>166.43274691491428</c:v>
                </c:pt>
                <c:pt idx="151">
                  <c:v>165.98093640131319</c:v>
                </c:pt>
                <c:pt idx="152">
                  <c:v>165.62980707929012</c:v>
                </c:pt>
                <c:pt idx="153">
                  <c:v>165.37870976423173</c:v>
                </c:pt>
                <c:pt idx="154">
                  <c:v>165.22665669302714</c:v>
                </c:pt>
                <c:pt idx="155">
                  <c:v>165.17235096956676</c:v>
                </c:pt>
                <c:pt idx="156">
                  <c:v>165.21421497041268</c:v>
                </c:pt>
                <c:pt idx="157">
                  <c:v>165.2507871279694</c:v>
                </c:pt>
                <c:pt idx="158">
                  <c:v>165.28173149437859</c:v>
                </c:pt>
                <c:pt idx="159">
                  <c:v>165.30677522500994</c:v>
                </c:pt>
                <c:pt idx="160">
                  <c:v>165.32570268822749</c:v>
                </c:pt>
                <c:pt idx="161">
                  <c:v>165.33835001317362</c:v>
                </c:pt>
                <c:pt idx="162">
                  <c:v>165.34460004665638</c:v>
                </c:pt>
                <c:pt idx="163">
                  <c:v>165.34437769199758</c:v>
                </c:pt>
                <c:pt idx="164">
                  <c:v>165.33764560436688</c:v>
                </c:pt>
                <c:pt idx="165">
                  <c:v>165.324400218699</c:v>
                </c:pt>
                <c:pt idx="166">
                  <c:v>165.30466808776964</c:v>
                </c:pt>
                <c:pt idx="167">
                  <c:v>165.27850250939869</c:v>
                </c:pt>
                <c:pt idx="168">
                  <c:v>165.24598042305982</c:v>
                </c:pt>
                <c:pt idx="169">
                  <c:v>165.20722051004543</c:v>
                </c:pt>
                <c:pt idx="170">
                  <c:v>165.16235845738518</c:v>
                </c:pt>
                <c:pt idx="171">
                  <c:v>165.11154458941544</c:v>
                </c:pt>
                <c:pt idx="172">
                  <c:v>165.05494170206532</c:v>
                </c:pt>
                <c:pt idx="173">
                  <c:v>164.99272308545238</c:v>
                </c:pt>
                <c:pt idx="174">
                  <c:v>164.92507072130539</c:v>
                </c:pt>
                <c:pt idx="175">
                  <c:v>164.85217364260015</c:v>
                </c:pt>
                <c:pt idx="176">
                  <c:v>164.77422644361084</c:v>
                </c:pt>
                <c:pt idx="177">
                  <c:v>164.69142792934591</c:v>
                </c:pt>
                <c:pt idx="178">
                  <c:v>164.60397989405897</c:v>
                </c:pt>
                <c:pt idx="179">
                  <c:v>164.51208601920086</c:v>
                </c:pt>
                <c:pt idx="180">
                  <c:v>164.41595088181566</c:v>
                </c:pt>
                <c:pt idx="181">
                  <c:v>164.31636238846269</c:v>
                </c:pt>
                <c:pt idx="182">
                  <c:v>164.214038026667</c:v>
                </c:pt>
                <c:pt idx="183">
                  <c:v>164.10962993011051</c:v>
                </c:pt>
                <c:pt idx="184">
                  <c:v>164.00372961774931</c:v>
                </c:pt>
                <c:pt idx="185">
                  <c:v>163.8968724264505</c:v>
                </c:pt>
                <c:pt idx="186">
                  <c:v>163.7895416556197</c:v>
                </c:pt>
                <c:pt idx="187">
                  <c:v>163.68217244122911</c:v>
                </c:pt>
                <c:pt idx="188">
                  <c:v>163.57515537565467</c:v>
                </c:pt>
                <c:pt idx="189">
                  <c:v>163.46883988878403</c:v>
                </c:pt>
                <c:pt idx="190">
                  <c:v>163.36353740496409</c:v>
                </c:pt>
                <c:pt idx="191">
                  <c:v>163.2595242895124</c:v>
                </c:pt>
                <c:pt idx="192">
                  <c:v>163.15704459772033</c:v>
                </c:pt>
                <c:pt idx="193">
                  <c:v>164.29622106826287</c:v>
                </c:pt>
                <c:pt idx="194">
                  <c:v>166.41311215415558</c:v>
                </c:pt>
                <c:pt idx="195">
                  <c:v>169.27768624062676</c:v>
                </c:pt>
                <c:pt idx="196">
                  <c:v>172.6903826801165</c:v>
                </c:pt>
                <c:pt idx="197">
                  <c:v>176.47897635887924</c:v>
                </c:pt>
                <c:pt idx="198">
                  <c:v>180.49572134367966</c:v>
                </c:pt>
                <c:pt idx="199">
                  <c:v>184.6147510038798</c:v>
                </c:pt>
                <c:pt idx="200">
                  <c:v>188.72971371803135</c:v>
                </c:pt>
                <c:pt idx="201">
                  <c:v>192.75162486414359</c:v>
                </c:pt>
                <c:pt idx="202">
                  <c:v>196.60691726770588</c:v>
                </c:pt>
                <c:pt idx="203">
                  <c:v>200.23567364933206</c:v>
                </c:pt>
                <c:pt idx="204">
                  <c:v>203.59002588204748</c:v>
                </c:pt>
                <c:pt idx="205">
                  <c:v>206.63264418582798</c:v>
                </c:pt>
                <c:pt idx="206">
                  <c:v>209.33549540167678</c:v>
                </c:pt>
                <c:pt idx="207">
                  <c:v>211.67866276895654</c:v>
                </c:pt>
                <c:pt idx="208">
                  <c:v>213.64928267407768</c:v>
                </c:pt>
                <c:pt idx="209">
                  <c:v>215.24058825558723</c:v>
                </c:pt>
                <c:pt idx="210">
                  <c:v>216.45105055200281</c:v>
                </c:pt>
                <c:pt idx="211">
                  <c:v>217.28360862032969</c:v>
                </c:pt>
                <c:pt idx="212">
                  <c:v>217.74498073933452</c:v>
                </c:pt>
                <c:pt idx="213">
                  <c:v>217.84504944629137</c:v>
                </c:pt>
                <c:pt idx="214">
                  <c:v>217.59631374274684</c:v>
                </c:pt>
                <c:pt idx="215">
                  <c:v>217.01340234730853</c:v>
                </c:pt>
                <c:pt idx="216">
                  <c:v>216.11264237473463</c:v>
                </c:pt>
                <c:pt idx="217">
                  <c:v>214.91224065451763</c:v>
                </c:pt>
                <c:pt idx="218">
                  <c:v>213.43131738124984</c:v>
                </c:pt>
                <c:pt idx="219">
                  <c:v>211.68961754489416</c:v>
                </c:pt>
                <c:pt idx="220">
                  <c:v>209.70725918670524</c:v>
                </c:pt>
                <c:pt idx="221">
                  <c:v>207.50451487196619</c:v>
                </c:pt>
                <c:pt idx="222">
                  <c:v>205.10162307899353</c:v>
                </c:pt>
                <c:pt idx="223">
                  <c:v>202.51862648798831</c:v>
                </c:pt>
                <c:pt idx="224">
                  <c:v>199.77523441505875</c:v>
                </c:pt>
                <c:pt idx="225">
                  <c:v>196.89070687776882</c:v>
                </c:pt>
                <c:pt idx="226">
                  <c:v>193.88375800041686</c:v>
                </c:pt>
                <c:pt idx="227">
                  <c:v>190.77247667134966</c:v>
                </c:pt>
                <c:pt idx="228">
                  <c:v>187.57426255230152</c:v>
                </c:pt>
                <c:pt idx="229">
                  <c:v>184.30635903573042</c:v>
                </c:pt>
                <c:pt idx="230">
                  <c:v>180.98516198094313</c:v>
                </c:pt>
                <c:pt idx="231">
                  <c:v>177.62619780897222</c:v>
                </c:pt>
                <c:pt idx="232">
                  <c:v>174.24411053314552</c:v>
                </c:pt>
                <c:pt idx="233">
                  <c:v>170.85265658365981</c:v>
                </c:pt>
                <c:pt idx="234">
                  <c:v>167.46470639511705</c:v>
                </c:pt>
                <c:pt idx="235">
                  <c:v>164.0922518272823</c:v>
                </c:pt>
                <c:pt idx="236">
                  <c:v>160.74641858200175</c:v>
                </c:pt>
                <c:pt idx="237">
                  <c:v>157.43748286395143</c:v>
                </c:pt>
                <c:pt idx="238">
                  <c:v>154.17489161029263</c:v>
                </c:pt>
                <c:pt idx="239">
                  <c:v>150.96728568496781</c:v>
                </c:pt>
                <c:pt idx="240">
                  <c:v>147.82252549781336</c:v>
                </c:pt>
                <c:pt idx="241">
                  <c:v>145.03538716385884</c:v>
                </c:pt>
                <c:pt idx="242">
                  <c:v>142.5876015544867</c:v>
                </c:pt>
                <c:pt idx="243">
                  <c:v>140.4614783670504</c:v>
                </c:pt>
                <c:pt idx="244">
                  <c:v>138.63990483169891</c:v>
                </c:pt>
                <c:pt idx="245">
                  <c:v>137.10634280614491</c:v>
                </c:pt>
                <c:pt idx="246">
                  <c:v>135.84482442839203</c:v>
                </c:pt>
                <c:pt idx="247">
                  <c:v>134.83994648450954</c:v>
                </c:pt>
                <c:pt idx="248">
                  <c:v>134.07686363647002</c:v>
                </c:pt>
                <c:pt idx="249">
                  <c:v>133.54128064379574</c:v>
                </c:pt>
                <c:pt idx="250">
                  <c:v>133.21944370224216</c:v>
                </c:pt>
                <c:pt idx="251">
                  <c:v>133.09813101293733</c:v>
                </c:pt>
                <c:pt idx="252">
                  <c:v>133.16464268624884</c:v>
                </c:pt>
                <c:pt idx="253">
                  <c:v>133.20483264230299</c:v>
                </c:pt>
                <c:pt idx="254">
                  <c:v>133.21748099674807</c:v>
                </c:pt>
                <c:pt idx="255">
                  <c:v>133.20163114025581</c:v>
                </c:pt>
                <c:pt idx="256">
                  <c:v>133.15656448198578</c:v>
                </c:pt>
                <c:pt idx="257">
                  <c:v>133.08177709449106</c:v>
                </c:pt>
                <c:pt idx="258">
                  <c:v>132.97695813364874</c:v>
                </c:pt>
                <c:pt idx="259">
                  <c:v>132.84196991498033</c:v>
                </c:pt>
                <c:pt idx="260">
                  <c:v>132.67682953505408</c:v>
                </c:pt>
                <c:pt idx="261">
                  <c:v>132.48169193356009</c:v>
                </c:pt>
                <c:pt idx="262">
                  <c:v>132.25683429814217</c:v>
                </c:pt>
                <c:pt idx="263">
                  <c:v>132.00264172018294</c:v>
                </c:pt>
                <c:pt idx="264">
                  <c:v>131.71959401548946</c:v>
                </c:pt>
                <c:pt idx="265">
                  <c:v>131.41117024665809</c:v>
                </c:pt>
                <c:pt idx="266">
                  <c:v>131.08057287078358</c:v>
                </c:pt>
                <c:pt idx="267">
                  <c:v>130.7307464593917</c:v>
                </c:pt>
                <c:pt idx="268">
                  <c:v>130.36439525937641</c:v>
                </c:pt>
                <c:pt idx="269">
                  <c:v>129.9839996626857</c:v>
                </c:pt>
                <c:pt idx="270">
                  <c:v>129.59183164869808</c:v>
                </c:pt>
                <c:pt idx="271">
                  <c:v>129.1899692596368</c:v>
                </c:pt>
                <c:pt idx="272">
                  <c:v>128.78031016597021</c:v>
                </c:pt>
                <c:pt idx="273">
                  <c:v>128.36458437553256</c:v>
                </c:pt>
                <c:pt idx="274">
                  <c:v>127.94436613706249</c:v>
                </c:pt>
                <c:pt idx="275">
                  <c:v>127.52108508598417</c:v>
                </c:pt>
                <c:pt idx="276">
                  <c:v>127.09603667754273</c:v>
                </c:pt>
                <c:pt idx="277">
                  <c:v>126.67305881078953</c:v>
                </c:pt>
                <c:pt idx="278">
                  <c:v>126.25555843788257</c:v>
                </c:pt>
                <c:pt idx="279">
                  <c:v>125.84654615267388</c:v>
                </c:pt>
                <c:pt idx="280">
                  <c:v>125.44866839633194</c:v>
                </c:pt>
                <c:pt idx="281">
                  <c:v>125.06423743008146</c:v>
                </c:pt>
                <c:pt idx="282">
                  <c:v>124.69525921623818</c:v>
                </c:pt>
                <c:pt idx="283">
                  <c:v>124.34345934031789</c:v>
                </c:pt>
                <c:pt idx="284">
                  <c:v>124.01030709907883</c:v>
                </c:pt>
                <c:pt idx="285">
                  <c:v>123.69703787188855</c:v>
                </c:pt>
                <c:pt idx="286">
                  <c:v>123.40467388576504</c:v>
                </c:pt>
                <c:pt idx="287">
                  <c:v>123.13404347780425</c:v>
                </c:pt>
                <c:pt idx="288">
                  <c:v>122.88579895244986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10176"/>
        <c:axId val="200322432"/>
      </c:scatterChart>
      <c:valAx>
        <c:axId val="187810176"/>
        <c:scaling>
          <c:orientation val="minMax"/>
          <c:max val="1.1666666666666001"/>
          <c:min val="0.16666666666660002"/>
        </c:scaling>
        <c:delete val="0"/>
        <c:axPos val="b"/>
        <c:numFmt formatCode="h:mm" sourceLinked="1"/>
        <c:majorTickMark val="out"/>
        <c:minorTickMark val="none"/>
        <c:tickLblPos val="nextTo"/>
        <c:crossAx val="200322432"/>
        <c:crosses val="autoZero"/>
        <c:crossBetween val="midCat"/>
        <c:majorUnit val="4.166666666600001E-2"/>
      </c:valAx>
      <c:valAx>
        <c:axId val="200322432"/>
        <c:scaling>
          <c:orientation val="minMax"/>
          <c:max val="300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810176"/>
        <c:crosses val="autoZero"/>
        <c:crossBetween val="midCat"/>
        <c:majorUnit val="10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Basal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981075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Bolus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544286</xdr:colOff>
      <xdr:row>2</xdr:row>
      <xdr:rowOff>172809</xdr:rowOff>
    </xdr:from>
    <xdr:to>
      <xdr:col>36</xdr:col>
      <xdr:colOff>557893</xdr:colOff>
      <xdr:row>38</xdr:row>
      <xdr:rowOff>54428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152400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Meal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P32"/>
  <sheetViews>
    <sheetView workbookViewId="0">
      <selection activeCell="H1" sqref="H1:K1"/>
    </sheetView>
  </sheetViews>
  <sheetFormatPr baseColWidth="10" defaultRowHeight="15" x14ac:dyDescent="0.25"/>
  <cols>
    <col min="1" max="1" width="9.5703125" customWidth="1"/>
    <col min="2" max="2" width="10.42578125" customWidth="1"/>
    <col min="3" max="3" width="9.5703125" bestFit="1" customWidth="1"/>
    <col min="4" max="4" width="8.85546875" style="2" customWidth="1"/>
    <col min="5" max="5" width="13.28515625" style="2" customWidth="1"/>
    <col min="6" max="6" width="8.85546875" style="2" customWidth="1"/>
    <col min="7" max="7" width="6.85546875" customWidth="1"/>
    <col min="8" max="11" width="15.42578125" customWidth="1"/>
    <col min="12" max="12" width="14.85546875" customWidth="1"/>
    <col min="15" max="15" width="26.7109375" customWidth="1"/>
    <col min="20" max="20" width="20.7109375" bestFit="1" customWidth="1"/>
  </cols>
  <sheetData>
    <row r="1" spans="1:16" ht="45" customHeight="1" thickBot="1" x14ac:dyDescent="0.3">
      <c r="A1" s="44" t="s">
        <v>9</v>
      </c>
      <c r="B1" s="45"/>
      <c r="C1" s="45"/>
      <c r="D1" s="45"/>
      <c r="E1" s="45"/>
      <c r="F1" s="46"/>
      <c r="G1" s="36"/>
      <c r="H1" s="44" t="s">
        <v>36</v>
      </c>
      <c r="I1" s="45"/>
      <c r="J1" s="45"/>
      <c r="K1" s="46"/>
      <c r="L1" s="36"/>
      <c r="M1" s="44" t="s">
        <v>13</v>
      </c>
      <c r="N1" s="45"/>
      <c r="O1" s="45"/>
      <c r="P1" s="43">
        <f>MAX(M3:P3)</f>
        <v>8.3333333333333329E-2</v>
      </c>
    </row>
    <row r="2" spans="1:16" x14ac:dyDescent="0.25">
      <c r="M2" s="3" t="s">
        <v>5</v>
      </c>
      <c r="N2" s="3" t="s">
        <v>6</v>
      </c>
      <c r="O2" s="3" t="s">
        <v>12</v>
      </c>
      <c r="P2" s="3" t="s">
        <v>7</v>
      </c>
    </row>
    <row r="3" spans="1:16" s="40" customFormat="1" ht="30" x14ac:dyDescent="0.25">
      <c r="A3" s="40" t="s">
        <v>0</v>
      </c>
      <c r="B3" s="40" t="s">
        <v>1</v>
      </c>
      <c r="C3" s="40">
        <v>75</v>
      </c>
      <c r="D3" s="41"/>
      <c r="E3" s="40" t="s">
        <v>33</v>
      </c>
      <c r="F3" s="41">
        <v>60</v>
      </c>
      <c r="H3" s="40" t="s">
        <v>10</v>
      </c>
      <c r="I3" s="40" t="s">
        <v>35</v>
      </c>
      <c r="L3" s="41" t="s">
        <v>34</v>
      </c>
      <c r="M3" s="39">
        <f>M4/M5</f>
        <v>6.4091967761620128E-2</v>
      </c>
      <c r="N3" s="39">
        <f t="shared" ref="N3:P3" si="0">N4/N5</f>
        <v>7.1428571428571425E-2</v>
      </c>
      <c r="O3" s="39">
        <f t="shared" si="0"/>
        <v>8.3333333333333329E-2</v>
      </c>
      <c r="P3" s="39">
        <f t="shared" si="0"/>
        <v>1.0989010989010952E-2</v>
      </c>
    </row>
    <row r="4" spans="1:16" s="40" customFormat="1" ht="30.75" thickBot="1" x14ac:dyDescent="0.3">
      <c r="B4" s="40" t="s">
        <v>3</v>
      </c>
      <c r="C4" s="40">
        <v>300</v>
      </c>
      <c r="D4" s="41"/>
      <c r="E4" s="40" t="s">
        <v>32</v>
      </c>
      <c r="F4" s="41">
        <v>240</v>
      </c>
      <c r="H4" s="40" t="s">
        <v>2</v>
      </c>
      <c r="I4" s="40" t="s">
        <v>35</v>
      </c>
      <c r="L4" s="41" t="s">
        <v>11</v>
      </c>
      <c r="M4" s="42">
        <f>SQRT(SUM(M6:M29)/24)</f>
        <v>4.5825756949558406E-2</v>
      </c>
      <c r="N4" s="42">
        <f t="shared" ref="N4:P4" si="1">SQRT(SUM(N6:N29)/24)</f>
        <v>5</v>
      </c>
      <c r="O4" s="42">
        <f t="shared" si="1"/>
        <v>0.5</v>
      </c>
      <c r="P4" s="42">
        <f t="shared" si="1"/>
        <v>0.12820512820512775</v>
      </c>
    </row>
    <row r="5" spans="1:16" ht="15.75" thickBot="1" x14ac:dyDescent="0.3">
      <c r="A5" s="7" t="s">
        <v>4</v>
      </c>
      <c r="B5" s="8" t="s">
        <v>8</v>
      </c>
      <c r="C5" s="12" t="s">
        <v>5</v>
      </c>
      <c r="D5" s="13" t="s">
        <v>6</v>
      </c>
      <c r="E5" s="13" t="s">
        <v>12</v>
      </c>
      <c r="F5" s="14" t="s">
        <v>7</v>
      </c>
      <c r="H5" s="24" t="s">
        <v>5</v>
      </c>
      <c r="I5" s="25" t="s">
        <v>6</v>
      </c>
      <c r="J5" s="25" t="s">
        <v>12</v>
      </c>
      <c r="K5" s="26" t="s">
        <v>7</v>
      </c>
      <c r="M5">
        <f>AVERAGE(C6:C29)</f>
        <v>0.71500000000000019</v>
      </c>
      <c r="N5">
        <f t="shared" ref="N5:P5" si="2">AVERAGE(D6:D29)</f>
        <v>70</v>
      </c>
      <c r="O5">
        <f t="shared" si="2"/>
        <v>6</v>
      </c>
      <c r="P5">
        <f t="shared" si="2"/>
        <v>11.666666666666664</v>
      </c>
    </row>
    <row r="6" spans="1:16" x14ac:dyDescent="0.25">
      <c r="A6" s="6">
        <v>0</v>
      </c>
      <c r="B6" s="9">
        <f>0</f>
        <v>0</v>
      </c>
      <c r="C6" s="15">
        <v>0.61</v>
      </c>
      <c r="D6" s="16">
        <v>70</v>
      </c>
      <c r="E6" s="16">
        <v>6</v>
      </c>
      <c r="F6" s="17">
        <f>D6/E6</f>
        <v>11.666666666666666</v>
      </c>
      <c r="H6" s="27">
        <v>0.71499999999999997</v>
      </c>
      <c r="I6" s="28">
        <v>75</v>
      </c>
      <c r="J6" s="28">
        <v>6.5</v>
      </c>
      <c r="K6" s="29">
        <f>I6/J6</f>
        <v>11.538461538461538</v>
      </c>
      <c r="M6">
        <f>(C6-H6)*(C6-H6)</f>
        <v>1.1024999999999997E-2</v>
      </c>
      <c r="N6">
        <f t="shared" ref="N6:P21" si="3">(D6-I6)*(D6-I6)</f>
        <v>25</v>
      </c>
      <c r="O6">
        <f t="shared" si="3"/>
        <v>0.25</v>
      </c>
      <c r="P6">
        <f t="shared" si="3"/>
        <v>1.6436554898093241E-2</v>
      </c>
    </row>
    <row r="7" spans="1:16" x14ac:dyDescent="0.25">
      <c r="A7" s="4">
        <v>4.1666666666666664E-2</v>
      </c>
      <c r="B7" s="10">
        <f>B6+60</f>
        <v>60</v>
      </c>
      <c r="C7" s="18">
        <v>0.57999999999999996</v>
      </c>
      <c r="D7" s="19">
        <f>+D6</f>
        <v>70</v>
      </c>
      <c r="E7" s="19">
        <f>+E6</f>
        <v>6</v>
      </c>
      <c r="F7" s="20">
        <f t="shared" ref="F7:F29" si="4">D7/E7</f>
        <v>11.666666666666666</v>
      </c>
      <c r="H7" s="30">
        <f>+H6</f>
        <v>0.71499999999999997</v>
      </c>
      <c r="I7" s="31">
        <f>+I6</f>
        <v>75</v>
      </c>
      <c r="J7" s="31">
        <f>+J6</f>
        <v>6.5</v>
      </c>
      <c r="K7" s="32">
        <f t="shared" ref="K7:K29" si="5">I7/J7</f>
        <v>11.538461538461538</v>
      </c>
      <c r="M7">
        <f t="shared" ref="M7:M29" si="6">(C7-H7)*(C7-H7)</f>
        <v>1.8225000000000002E-2</v>
      </c>
      <c r="N7">
        <f t="shared" si="3"/>
        <v>25</v>
      </c>
      <c r="O7">
        <f t="shared" si="3"/>
        <v>0.25</v>
      </c>
      <c r="P7">
        <f t="shared" si="3"/>
        <v>1.6436554898093241E-2</v>
      </c>
    </row>
    <row r="8" spans="1:16" x14ac:dyDescent="0.25">
      <c r="A8" s="4">
        <v>8.3333333333333301E-2</v>
      </c>
      <c r="B8" s="10">
        <f t="shared" ref="B8:B29" si="7">B7+60</f>
        <v>120</v>
      </c>
      <c r="C8" s="18">
        <v>0.68</v>
      </c>
      <c r="D8" s="19">
        <f t="shared" ref="D8:D29" si="8">+D7</f>
        <v>70</v>
      </c>
      <c r="E8" s="19">
        <f t="shared" ref="E8:E29" si="9">+E7</f>
        <v>6</v>
      </c>
      <c r="F8" s="20">
        <f t="shared" si="4"/>
        <v>11.666666666666666</v>
      </c>
      <c r="H8" s="30">
        <f t="shared" ref="H8:H28" si="10">+H7</f>
        <v>0.71499999999999997</v>
      </c>
      <c r="I8" s="31">
        <f t="shared" ref="I8:I29" si="11">+I7</f>
        <v>75</v>
      </c>
      <c r="J8" s="31">
        <f t="shared" ref="J8:J29" si="12">+J7</f>
        <v>6.5</v>
      </c>
      <c r="K8" s="32">
        <f t="shared" si="5"/>
        <v>11.538461538461538</v>
      </c>
      <c r="M8">
        <f t="shared" si="6"/>
        <v>1.2249999999999943E-3</v>
      </c>
      <c r="N8">
        <f t="shared" si="3"/>
        <v>25</v>
      </c>
      <c r="O8">
        <f t="shared" si="3"/>
        <v>0.25</v>
      </c>
      <c r="P8">
        <f t="shared" si="3"/>
        <v>1.6436554898093241E-2</v>
      </c>
    </row>
    <row r="9" spans="1:16" x14ac:dyDescent="0.25">
      <c r="A9" s="4">
        <v>0.125</v>
      </c>
      <c r="B9" s="10">
        <f t="shared" si="7"/>
        <v>180</v>
      </c>
      <c r="C9" s="18">
        <v>0.77</v>
      </c>
      <c r="D9" s="19">
        <f t="shared" si="8"/>
        <v>70</v>
      </c>
      <c r="E9" s="19">
        <f t="shared" si="9"/>
        <v>6</v>
      </c>
      <c r="F9" s="20">
        <f t="shared" si="4"/>
        <v>11.666666666666666</v>
      </c>
      <c r="H9" s="30">
        <f t="shared" si="10"/>
        <v>0.71499999999999997</v>
      </c>
      <c r="I9" s="31">
        <f t="shared" si="11"/>
        <v>75</v>
      </c>
      <c r="J9" s="31">
        <f t="shared" si="12"/>
        <v>6.5</v>
      </c>
      <c r="K9" s="32">
        <f t="shared" si="5"/>
        <v>11.538461538461538</v>
      </c>
      <c r="M9">
        <f t="shared" si="6"/>
        <v>3.0250000000000055E-3</v>
      </c>
      <c r="N9">
        <f t="shared" si="3"/>
        <v>25</v>
      </c>
      <c r="O9">
        <f t="shared" si="3"/>
        <v>0.25</v>
      </c>
      <c r="P9">
        <f t="shared" si="3"/>
        <v>1.6436554898093241E-2</v>
      </c>
    </row>
    <row r="10" spans="1:16" x14ac:dyDescent="0.25">
      <c r="A10" s="4">
        <v>0.16666666666666699</v>
      </c>
      <c r="B10" s="10">
        <f t="shared" si="7"/>
        <v>240</v>
      </c>
      <c r="C10" s="18">
        <v>0.78</v>
      </c>
      <c r="D10" s="19">
        <f t="shared" si="8"/>
        <v>70</v>
      </c>
      <c r="E10" s="19">
        <f t="shared" si="9"/>
        <v>6</v>
      </c>
      <c r="F10" s="20">
        <f t="shared" si="4"/>
        <v>11.666666666666666</v>
      </c>
      <c r="H10" s="30">
        <f t="shared" si="10"/>
        <v>0.71499999999999997</v>
      </c>
      <c r="I10" s="31">
        <f t="shared" si="11"/>
        <v>75</v>
      </c>
      <c r="J10" s="31">
        <f t="shared" si="12"/>
        <v>6.5</v>
      </c>
      <c r="K10" s="32">
        <f t="shared" si="5"/>
        <v>11.538461538461538</v>
      </c>
      <c r="M10">
        <f t="shared" si="6"/>
        <v>4.2250000000000074E-3</v>
      </c>
      <c r="N10">
        <f t="shared" si="3"/>
        <v>25</v>
      </c>
      <c r="O10">
        <f t="shared" si="3"/>
        <v>0.25</v>
      </c>
      <c r="P10">
        <f t="shared" si="3"/>
        <v>1.6436554898093241E-2</v>
      </c>
    </row>
    <row r="11" spans="1:16" x14ac:dyDescent="0.25">
      <c r="A11" s="4">
        <v>0.20833333333333301</v>
      </c>
      <c r="B11" s="10">
        <f t="shared" si="7"/>
        <v>300</v>
      </c>
      <c r="C11" s="18">
        <v>0.74</v>
      </c>
      <c r="D11" s="19">
        <f t="shared" si="8"/>
        <v>70</v>
      </c>
      <c r="E11" s="19">
        <f t="shared" si="9"/>
        <v>6</v>
      </c>
      <c r="F11" s="20">
        <f t="shared" si="4"/>
        <v>11.666666666666666</v>
      </c>
      <c r="H11" s="30">
        <f t="shared" si="10"/>
        <v>0.71499999999999997</v>
      </c>
      <c r="I11" s="31">
        <f t="shared" si="11"/>
        <v>75</v>
      </c>
      <c r="J11" s="31">
        <f t="shared" si="12"/>
        <v>6.5</v>
      </c>
      <c r="K11" s="32">
        <f t="shared" si="5"/>
        <v>11.538461538461538</v>
      </c>
      <c r="M11">
        <f t="shared" si="6"/>
        <v>6.250000000000011E-4</v>
      </c>
      <c r="N11">
        <f t="shared" si="3"/>
        <v>25</v>
      </c>
      <c r="O11">
        <f t="shared" si="3"/>
        <v>0.25</v>
      </c>
      <c r="P11">
        <f t="shared" si="3"/>
        <v>1.6436554898093241E-2</v>
      </c>
    </row>
    <row r="12" spans="1:16" x14ac:dyDescent="0.25">
      <c r="A12" s="4">
        <v>0.25</v>
      </c>
      <c r="B12" s="10">
        <f t="shared" si="7"/>
        <v>360</v>
      </c>
      <c r="C12" s="18">
        <v>0.67</v>
      </c>
      <c r="D12" s="19">
        <f t="shared" si="8"/>
        <v>70</v>
      </c>
      <c r="E12" s="19">
        <f t="shared" si="9"/>
        <v>6</v>
      </c>
      <c r="F12" s="20">
        <f t="shared" si="4"/>
        <v>11.666666666666666</v>
      </c>
      <c r="H12" s="30">
        <f t="shared" si="10"/>
        <v>0.71499999999999997</v>
      </c>
      <c r="I12" s="31">
        <f t="shared" si="11"/>
        <v>75</v>
      </c>
      <c r="J12" s="31">
        <f t="shared" si="12"/>
        <v>6.5</v>
      </c>
      <c r="K12" s="32">
        <f t="shared" si="5"/>
        <v>11.538461538461538</v>
      </c>
      <c r="M12">
        <f t="shared" si="6"/>
        <v>2.0249999999999938E-3</v>
      </c>
      <c r="N12">
        <f t="shared" si="3"/>
        <v>25</v>
      </c>
      <c r="O12">
        <f t="shared" si="3"/>
        <v>0.25</v>
      </c>
      <c r="P12">
        <f t="shared" si="3"/>
        <v>1.6436554898093241E-2</v>
      </c>
    </row>
    <row r="13" spans="1:16" x14ac:dyDescent="0.25">
      <c r="A13" s="4">
        <v>0.29166666666666702</v>
      </c>
      <c r="B13" s="10">
        <f t="shared" si="7"/>
        <v>420</v>
      </c>
      <c r="C13" s="18">
        <v>0.73</v>
      </c>
      <c r="D13" s="19">
        <f t="shared" si="8"/>
        <v>70</v>
      </c>
      <c r="E13" s="19">
        <f t="shared" si="9"/>
        <v>6</v>
      </c>
      <c r="F13" s="20">
        <f t="shared" si="4"/>
        <v>11.666666666666666</v>
      </c>
      <c r="H13" s="30">
        <f t="shared" si="10"/>
        <v>0.71499999999999997</v>
      </c>
      <c r="I13" s="31">
        <f t="shared" si="11"/>
        <v>75</v>
      </c>
      <c r="J13" s="31">
        <f t="shared" si="12"/>
        <v>6.5</v>
      </c>
      <c r="K13" s="32">
        <f t="shared" si="5"/>
        <v>11.538461538461538</v>
      </c>
      <c r="M13">
        <f t="shared" si="6"/>
        <v>2.250000000000004E-4</v>
      </c>
      <c r="N13">
        <f t="shared" si="3"/>
        <v>25</v>
      </c>
      <c r="O13">
        <f t="shared" si="3"/>
        <v>0.25</v>
      </c>
      <c r="P13">
        <f t="shared" si="3"/>
        <v>1.6436554898093241E-2</v>
      </c>
    </row>
    <row r="14" spans="1:16" x14ac:dyDescent="0.25">
      <c r="A14" s="4">
        <v>0.33333333333333298</v>
      </c>
      <c r="B14" s="10">
        <f t="shared" si="7"/>
        <v>480</v>
      </c>
      <c r="C14" s="18">
        <v>0.72</v>
      </c>
      <c r="D14" s="19">
        <f t="shared" si="8"/>
        <v>70</v>
      </c>
      <c r="E14" s="19">
        <f t="shared" si="9"/>
        <v>6</v>
      </c>
      <c r="F14" s="20">
        <f t="shared" si="4"/>
        <v>11.666666666666666</v>
      </c>
      <c r="H14" s="30">
        <f t="shared" si="10"/>
        <v>0.71499999999999997</v>
      </c>
      <c r="I14" s="31">
        <f t="shared" si="11"/>
        <v>75</v>
      </c>
      <c r="J14" s="31">
        <f t="shared" si="12"/>
        <v>6.5</v>
      </c>
      <c r="K14" s="32">
        <f t="shared" si="5"/>
        <v>11.538461538461538</v>
      </c>
      <c r="M14">
        <f t="shared" si="6"/>
        <v>2.5000000000000045E-5</v>
      </c>
      <c r="N14">
        <f t="shared" si="3"/>
        <v>25</v>
      </c>
      <c r="O14">
        <f t="shared" si="3"/>
        <v>0.25</v>
      </c>
      <c r="P14">
        <f t="shared" si="3"/>
        <v>1.6436554898093241E-2</v>
      </c>
    </row>
    <row r="15" spans="1:16" x14ac:dyDescent="0.25">
      <c r="A15" s="4">
        <v>0.375</v>
      </c>
      <c r="B15" s="10">
        <f t="shared" si="7"/>
        <v>540</v>
      </c>
      <c r="C15" s="18">
        <v>0.72</v>
      </c>
      <c r="D15" s="19">
        <f t="shared" si="8"/>
        <v>70</v>
      </c>
      <c r="E15" s="19">
        <f t="shared" si="9"/>
        <v>6</v>
      </c>
      <c r="F15" s="20">
        <f t="shared" si="4"/>
        <v>11.666666666666666</v>
      </c>
      <c r="H15" s="30">
        <f t="shared" si="10"/>
        <v>0.71499999999999997</v>
      </c>
      <c r="I15" s="31">
        <f t="shared" si="11"/>
        <v>75</v>
      </c>
      <c r="J15" s="31">
        <f t="shared" si="12"/>
        <v>6.5</v>
      </c>
      <c r="K15" s="32">
        <f t="shared" si="5"/>
        <v>11.538461538461538</v>
      </c>
      <c r="M15">
        <f t="shared" si="6"/>
        <v>2.5000000000000045E-5</v>
      </c>
      <c r="N15">
        <f t="shared" si="3"/>
        <v>25</v>
      </c>
      <c r="O15">
        <f t="shared" si="3"/>
        <v>0.25</v>
      </c>
      <c r="P15">
        <f t="shared" si="3"/>
        <v>1.6436554898093241E-2</v>
      </c>
    </row>
    <row r="16" spans="1:16" x14ac:dyDescent="0.25">
      <c r="A16" s="4">
        <v>0.41666666666666702</v>
      </c>
      <c r="B16" s="10">
        <f t="shared" si="7"/>
        <v>600</v>
      </c>
      <c r="C16" s="18">
        <v>0.72</v>
      </c>
      <c r="D16" s="19">
        <f t="shared" si="8"/>
        <v>70</v>
      </c>
      <c r="E16" s="19">
        <f t="shared" si="9"/>
        <v>6</v>
      </c>
      <c r="F16" s="20">
        <f t="shared" si="4"/>
        <v>11.666666666666666</v>
      </c>
      <c r="H16" s="30">
        <f t="shared" si="10"/>
        <v>0.71499999999999997</v>
      </c>
      <c r="I16" s="31">
        <f t="shared" si="11"/>
        <v>75</v>
      </c>
      <c r="J16" s="31">
        <f t="shared" si="12"/>
        <v>6.5</v>
      </c>
      <c r="K16" s="32">
        <f t="shared" si="5"/>
        <v>11.538461538461538</v>
      </c>
      <c r="M16">
        <f t="shared" si="6"/>
        <v>2.5000000000000045E-5</v>
      </c>
      <c r="N16">
        <f t="shared" si="3"/>
        <v>25</v>
      </c>
      <c r="O16">
        <f t="shared" si="3"/>
        <v>0.25</v>
      </c>
      <c r="P16">
        <f t="shared" si="3"/>
        <v>1.6436554898093241E-2</v>
      </c>
    </row>
    <row r="17" spans="1:16" x14ac:dyDescent="0.25">
      <c r="A17" s="4">
        <v>0.45833333333333298</v>
      </c>
      <c r="B17" s="10">
        <f t="shared" si="7"/>
        <v>660</v>
      </c>
      <c r="C17" s="18">
        <v>0.72</v>
      </c>
      <c r="D17" s="19">
        <f t="shared" si="8"/>
        <v>70</v>
      </c>
      <c r="E17" s="19">
        <f t="shared" si="9"/>
        <v>6</v>
      </c>
      <c r="F17" s="20">
        <f t="shared" si="4"/>
        <v>11.666666666666666</v>
      </c>
      <c r="H17" s="30">
        <f t="shared" si="10"/>
        <v>0.71499999999999997</v>
      </c>
      <c r="I17" s="31">
        <f t="shared" si="11"/>
        <v>75</v>
      </c>
      <c r="J17" s="31">
        <f t="shared" si="12"/>
        <v>6.5</v>
      </c>
      <c r="K17" s="32">
        <f t="shared" si="5"/>
        <v>11.538461538461538</v>
      </c>
      <c r="M17">
        <f t="shared" si="6"/>
        <v>2.5000000000000045E-5</v>
      </c>
      <c r="N17">
        <f t="shared" si="3"/>
        <v>25</v>
      </c>
      <c r="O17">
        <f t="shared" si="3"/>
        <v>0.25</v>
      </c>
      <c r="P17">
        <f t="shared" si="3"/>
        <v>1.6436554898093241E-2</v>
      </c>
    </row>
    <row r="18" spans="1:16" x14ac:dyDescent="0.25">
      <c r="A18" s="4">
        <v>0.5</v>
      </c>
      <c r="B18" s="10">
        <f t="shared" si="7"/>
        <v>720</v>
      </c>
      <c r="C18" s="18">
        <v>0.72</v>
      </c>
      <c r="D18" s="19">
        <f t="shared" si="8"/>
        <v>70</v>
      </c>
      <c r="E18" s="19">
        <f t="shared" si="9"/>
        <v>6</v>
      </c>
      <c r="F18" s="20">
        <f t="shared" si="4"/>
        <v>11.666666666666666</v>
      </c>
      <c r="H18" s="30">
        <f t="shared" si="10"/>
        <v>0.71499999999999997</v>
      </c>
      <c r="I18" s="31">
        <f t="shared" si="11"/>
        <v>75</v>
      </c>
      <c r="J18" s="31">
        <f t="shared" si="12"/>
        <v>6.5</v>
      </c>
      <c r="K18" s="32">
        <f t="shared" si="5"/>
        <v>11.538461538461538</v>
      </c>
      <c r="M18">
        <f t="shared" si="6"/>
        <v>2.5000000000000045E-5</v>
      </c>
      <c r="N18">
        <f t="shared" si="3"/>
        <v>25</v>
      </c>
      <c r="O18">
        <f t="shared" si="3"/>
        <v>0.25</v>
      </c>
      <c r="P18">
        <f t="shared" si="3"/>
        <v>1.6436554898093241E-2</v>
      </c>
    </row>
    <row r="19" spans="1:16" x14ac:dyDescent="0.25">
      <c r="A19" s="4">
        <v>0.54166666666666696</v>
      </c>
      <c r="B19" s="10">
        <f t="shared" si="7"/>
        <v>780</v>
      </c>
      <c r="C19" s="18">
        <v>0.73</v>
      </c>
      <c r="D19" s="19">
        <f t="shared" si="8"/>
        <v>70</v>
      </c>
      <c r="E19" s="19">
        <f t="shared" si="9"/>
        <v>6</v>
      </c>
      <c r="F19" s="20">
        <f t="shared" si="4"/>
        <v>11.666666666666666</v>
      </c>
      <c r="H19" s="30">
        <f t="shared" si="10"/>
        <v>0.71499999999999997</v>
      </c>
      <c r="I19" s="31">
        <f t="shared" si="11"/>
        <v>75</v>
      </c>
      <c r="J19" s="31">
        <f t="shared" si="12"/>
        <v>6.5</v>
      </c>
      <c r="K19" s="32">
        <f t="shared" si="5"/>
        <v>11.538461538461538</v>
      </c>
      <c r="M19">
        <f t="shared" si="6"/>
        <v>2.250000000000004E-4</v>
      </c>
      <c r="N19">
        <f t="shared" si="3"/>
        <v>25</v>
      </c>
      <c r="O19">
        <f t="shared" si="3"/>
        <v>0.25</v>
      </c>
      <c r="P19">
        <f t="shared" si="3"/>
        <v>1.6436554898093241E-2</v>
      </c>
    </row>
    <row r="20" spans="1:16" x14ac:dyDescent="0.25">
      <c r="A20" s="4">
        <v>0.58333333333333304</v>
      </c>
      <c r="B20" s="10">
        <f t="shared" si="7"/>
        <v>840</v>
      </c>
      <c r="C20" s="18">
        <v>0.73</v>
      </c>
      <c r="D20" s="19">
        <f t="shared" si="8"/>
        <v>70</v>
      </c>
      <c r="E20" s="19">
        <f t="shared" si="9"/>
        <v>6</v>
      </c>
      <c r="F20" s="20">
        <f t="shared" si="4"/>
        <v>11.666666666666666</v>
      </c>
      <c r="H20" s="30">
        <f t="shared" si="10"/>
        <v>0.71499999999999997</v>
      </c>
      <c r="I20" s="31">
        <f t="shared" si="11"/>
        <v>75</v>
      </c>
      <c r="J20" s="31">
        <f t="shared" si="12"/>
        <v>6.5</v>
      </c>
      <c r="K20" s="32">
        <f t="shared" si="5"/>
        <v>11.538461538461538</v>
      </c>
      <c r="M20">
        <f t="shared" si="6"/>
        <v>2.250000000000004E-4</v>
      </c>
      <c r="N20">
        <f t="shared" si="3"/>
        <v>25</v>
      </c>
      <c r="O20">
        <f t="shared" si="3"/>
        <v>0.25</v>
      </c>
      <c r="P20">
        <f t="shared" si="3"/>
        <v>1.6436554898093241E-2</v>
      </c>
    </row>
    <row r="21" spans="1:16" x14ac:dyDescent="0.25">
      <c r="A21" s="4">
        <v>0.625</v>
      </c>
      <c r="B21" s="10">
        <f t="shared" si="7"/>
        <v>900</v>
      </c>
      <c r="C21" s="18">
        <v>0.73</v>
      </c>
      <c r="D21" s="19">
        <f t="shared" si="8"/>
        <v>70</v>
      </c>
      <c r="E21" s="19">
        <f t="shared" si="9"/>
        <v>6</v>
      </c>
      <c r="F21" s="20">
        <f t="shared" si="4"/>
        <v>11.666666666666666</v>
      </c>
      <c r="H21" s="30">
        <f t="shared" si="10"/>
        <v>0.71499999999999997</v>
      </c>
      <c r="I21" s="31">
        <f t="shared" si="11"/>
        <v>75</v>
      </c>
      <c r="J21" s="31">
        <f t="shared" si="12"/>
        <v>6.5</v>
      </c>
      <c r="K21" s="32">
        <f t="shared" si="5"/>
        <v>11.538461538461538</v>
      </c>
      <c r="M21">
        <f t="shared" si="6"/>
        <v>2.250000000000004E-4</v>
      </c>
      <c r="N21">
        <f t="shared" si="3"/>
        <v>25</v>
      </c>
      <c r="O21">
        <f t="shared" si="3"/>
        <v>0.25</v>
      </c>
      <c r="P21">
        <f t="shared" si="3"/>
        <v>1.6436554898093241E-2</v>
      </c>
    </row>
    <row r="22" spans="1:16" x14ac:dyDescent="0.25">
      <c r="A22" s="4">
        <v>0.66666666666666696</v>
      </c>
      <c r="B22" s="10">
        <f t="shared" si="7"/>
        <v>960</v>
      </c>
      <c r="C22" s="18">
        <v>0.7</v>
      </c>
      <c r="D22" s="19">
        <f t="shared" si="8"/>
        <v>70</v>
      </c>
      <c r="E22" s="19">
        <f t="shared" si="9"/>
        <v>6</v>
      </c>
      <c r="F22" s="20">
        <f t="shared" si="4"/>
        <v>11.666666666666666</v>
      </c>
      <c r="H22" s="30">
        <f t="shared" si="10"/>
        <v>0.71499999999999997</v>
      </c>
      <c r="I22" s="31">
        <f t="shared" si="11"/>
        <v>75</v>
      </c>
      <c r="J22" s="31">
        <f t="shared" si="12"/>
        <v>6.5</v>
      </c>
      <c r="K22" s="32">
        <f t="shared" si="5"/>
        <v>11.538461538461538</v>
      </c>
      <c r="M22">
        <f t="shared" si="6"/>
        <v>2.250000000000004E-4</v>
      </c>
      <c r="N22">
        <f t="shared" ref="N22:N29" si="13">(D22-I22)*(D22-I22)</f>
        <v>25</v>
      </c>
      <c r="O22">
        <f t="shared" ref="O22:O29" si="14">(E22-J22)*(E22-J22)</f>
        <v>0.25</v>
      </c>
      <c r="P22">
        <f t="shared" ref="P22:P29" si="15">(F22-K22)*(F22-K22)</f>
        <v>1.6436554898093241E-2</v>
      </c>
    </row>
    <row r="23" spans="1:16" x14ac:dyDescent="0.25">
      <c r="A23" s="4">
        <v>0.70833333333333304</v>
      </c>
      <c r="B23" s="10">
        <f t="shared" si="7"/>
        <v>1020</v>
      </c>
      <c r="C23" s="18">
        <v>0.69</v>
      </c>
      <c r="D23" s="19">
        <f t="shared" si="8"/>
        <v>70</v>
      </c>
      <c r="E23" s="19">
        <f t="shared" si="9"/>
        <v>6</v>
      </c>
      <c r="F23" s="20">
        <f t="shared" si="4"/>
        <v>11.666666666666666</v>
      </c>
      <c r="H23" s="30">
        <f t="shared" si="10"/>
        <v>0.71499999999999997</v>
      </c>
      <c r="I23" s="31">
        <f t="shared" si="11"/>
        <v>75</v>
      </c>
      <c r="J23" s="31">
        <f t="shared" si="12"/>
        <v>6.5</v>
      </c>
      <c r="K23" s="32">
        <f t="shared" si="5"/>
        <v>11.538461538461538</v>
      </c>
      <c r="M23">
        <f t="shared" si="6"/>
        <v>6.250000000000011E-4</v>
      </c>
      <c r="N23">
        <f t="shared" si="13"/>
        <v>25</v>
      </c>
      <c r="O23">
        <f t="shared" si="14"/>
        <v>0.25</v>
      </c>
      <c r="P23">
        <f t="shared" si="15"/>
        <v>1.6436554898093241E-2</v>
      </c>
    </row>
    <row r="24" spans="1:16" x14ac:dyDescent="0.25">
      <c r="A24" s="4">
        <v>0.75</v>
      </c>
      <c r="B24" s="10">
        <f t="shared" si="7"/>
        <v>1080</v>
      </c>
      <c r="C24" s="18">
        <v>0.69</v>
      </c>
      <c r="D24" s="19">
        <f t="shared" si="8"/>
        <v>70</v>
      </c>
      <c r="E24" s="19">
        <f t="shared" si="9"/>
        <v>6</v>
      </c>
      <c r="F24" s="20">
        <f t="shared" si="4"/>
        <v>11.666666666666666</v>
      </c>
      <c r="H24" s="30">
        <f t="shared" si="10"/>
        <v>0.71499999999999997</v>
      </c>
      <c r="I24" s="31">
        <f t="shared" si="11"/>
        <v>75</v>
      </c>
      <c r="J24" s="31">
        <f t="shared" si="12"/>
        <v>6.5</v>
      </c>
      <c r="K24" s="32">
        <f t="shared" si="5"/>
        <v>11.538461538461538</v>
      </c>
      <c r="M24">
        <f t="shared" si="6"/>
        <v>6.250000000000011E-4</v>
      </c>
      <c r="N24">
        <f t="shared" si="13"/>
        <v>25</v>
      </c>
      <c r="O24">
        <f t="shared" si="14"/>
        <v>0.25</v>
      </c>
      <c r="P24">
        <f t="shared" si="15"/>
        <v>1.6436554898093241E-2</v>
      </c>
    </row>
    <row r="25" spans="1:16" x14ac:dyDescent="0.25">
      <c r="A25" s="4">
        <v>0.79166666666666696</v>
      </c>
      <c r="B25" s="10">
        <f t="shared" si="7"/>
        <v>1140</v>
      </c>
      <c r="C25" s="18">
        <v>0.71</v>
      </c>
      <c r="D25" s="19">
        <f t="shared" si="8"/>
        <v>70</v>
      </c>
      <c r="E25" s="19">
        <f t="shared" si="9"/>
        <v>6</v>
      </c>
      <c r="F25" s="20">
        <f t="shared" si="4"/>
        <v>11.666666666666666</v>
      </c>
      <c r="H25" s="30">
        <f t="shared" si="10"/>
        <v>0.71499999999999997</v>
      </c>
      <c r="I25" s="31">
        <f t="shared" si="11"/>
        <v>75</v>
      </c>
      <c r="J25" s="31">
        <f t="shared" si="12"/>
        <v>6.5</v>
      </c>
      <c r="K25" s="32">
        <f t="shared" si="5"/>
        <v>11.538461538461538</v>
      </c>
      <c r="M25">
        <f t="shared" si="6"/>
        <v>2.5000000000000045E-5</v>
      </c>
      <c r="N25">
        <f t="shared" si="13"/>
        <v>25</v>
      </c>
      <c r="O25">
        <f t="shared" si="14"/>
        <v>0.25</v>
      </c>
      <c r="P25">
        <f t="shared" si="15"/>
        <v>1.6436554898093241E-2</v>
      </c>
    </row>
    <row r="26" spans="1:16" x14ac:dyDescent="0.25">
      <c r="A26" s="4">
        <v>0.83333333333333304</v>
      </c>
      <c r="B26" s="10">
        <f t="shared" si="7"/>
        <v>1200</v>
      </c>
      <c r="C26" s="18">
        <v>0.74</v>
      </c>
      <c r="D26" s="19">
        <f t="shared" si="8"/>
        <v>70</v>
      </c>
      <c r="E26" s="19">
        <f t="shared" si="9"/>
        <v>6</v>
      </c>
      <c r="F26" s="20">
        <f t="shared" si="4"/>
        <v>11.666666666666666</v>
      </c>
      <c r="H26" s="30">
        <f t="shared" si="10"/>
        <v>0.71499999999999997</v>
      </c>
      <c r="I26" s="31">
        <f t="shared" si="11"/>
        <v>75</v>
      </c>
      <c r="J26" s="31">
        <f t="shared" si="12"/>
        <v>6.5</v>
      </c>
      <c r="K26" s="32">
        <f t="shared" si="5"/>
        <v>11.538461538461538</v>
      </c>
      <c r="M26">
        <f t="shared" si="6"/>
        <v>6.250000000000011E-4</v>
      </c>
      <c r="N26">
        <f t="shared" si="13"/>
        <v>25</v>
      </c>
      <c r="O26">
        <f t="shared" si="14"/>
        <v>0.25</v>
      </c>
      <c r="P26">
        <f t="shared" si="15"/>
        <v>1.6436554898093241E-2</v>
      </c>
    </row>
    <row r="27" spans="1:16" x14ac:dyDescent="0.25">
      <c r="A27" s="4">
        <v>0.875</v>
      </c>
      <c r="B27" s="10">
        <f t="shared" si="7"/>
        <v>1260</v>
      </c>
      <c r="C27" s="18">
        <v>0.74</v>
      </c>
      <c r="D27" s="19">
        <f t="shared" si="8"/>
        <v>70</v>
      </c>
      <c r="E27" s="19">
        <f t="shared" si="9"/>
        <v>6</v>
      </c>
      <c r="F27" s="20">
        <f t="shared" si="4"/>
        <v>11.666666666666666</v>
      </c>
      <c r="H27" s="30">
        <f t="shared" si="10"/>
        <v>0.71499999999999997</v>
      </c>
      <c r="I27" s="31">
        <f t="shared" si="11"/>
        <v>75</v>
      </c>
      <c r="J27" s="31">
        <f t="shared" si="12"/>
        <v>6.5</v>
      </c>
      <c r="K27" s="32">
        <f t="shared" si="5"/>
        <v>11.538461538461538</v>
      </c>
      <c r="M27">
        <f t="shared" si="6"/>
        <v>6.250000000000011E-4</v>
      </c>
      <c r="N27">
        <f t="shared" si="13"/>
        <v>25</v>
      </c>
      <c r="O27">
        <f t="shared" si="14"/>
        <v>0.25</v>
      </c>
      <c r="P27">
        <f t="shared" si="15"/>
        <v>1.6436554898093241E-2</v>
      </c>
    </row>
    <row r="28" spans="1:16" x14ac:dyDescent="0.25">
      <c r="A28" s="4">
        <v>0.91666666666666696</v>
      </c>
      <c r="B28" s="10">
        <f t="shared" si="7"/>
        <v>1320</v>
      </c>
      <c r="C28" s="18">
        <v>0.76</v>
      </c>
      <c r="D28" s="19">
        <f t="shared" si="8"/>
        <v>70</v>
      </c>
      <c r="E28" s="19">
        <f t="shared" si="9"/>
        <v>6</v>
      </c>
      <c r="F28" s="20">
        <f t="shared" si="4"/>
        <v>11.666666666666666</v>
      </c>
      <c r="H28" s="30">
        <f t="shared" si="10"/>
        <v>0.71499999999999997</v>
      </c>
      <c r="I28" s="31">
        <f t="shared" si="11"/>
        <v>75</v>
      </c>
      <c r="J28" s="31">
        <f t="shared" si="12"/>
        <v>6.5</v>
      </c>
      <c r="K28" s="32">
        <f t="shared" si="5"/>
        <v>11.538461538461538</v>
      </c>
      <c r="M28">
        <f t="shared" si="6"/>
        <v>2.0250000000000038E-3</v>
      </c>
      <c r="N28">
        <f t="shared" si="13"/>
        <v>25</v>
      </c>
      <c r="O28">
        <f t="shared" si="14"/>
        <v>0.25</v>
      </c>
      <c r="P28">
        <f t="shared" si="15"/>
        <v>1.6436554898093241E-2</v>
      </c>
    </row>
    <row r="29" spans="1:16" ht="15.75" thickBot="1" x14ac:dyDescent="0.3">
      <c r="A29" s="5">
        <v>0.95833333333333304</v>
      </c>
      <c r="B29" s="11">
        <f t="shared" si="7"/>
        <v>1380</v>
      </c>
      <c r="C29" s="21">
        <v>0.78</v>
      </c>
      <c r="D29" s="22">
        <f t="shared" si="8"/>
        <v>70</v>
      </c>
      <c r="E29" s="22">
        <f t="shared" si="9"/>
        <v>6</v>
      </c>
      <c r="F29" s="23">
        <f t="shared" si="4"/>
        <v>11.666666666666666</v>
      </c>
      <c r="H29" s="33">
        <f>+H28</f>
        <v>0.71499999999999997</v>
      </c>
      <c r="I29" s="34">
        <f t="shared" si="11"/>
        <v>75</v>
      </c>
      <c r="J29" s="34">
        <f t="shared" si="12"/>
        <v>6.5</v>
      </c>
      <c r="K29" s="35">
        <f t="shared" si="5"/>
        <v>11.538461538461538</v>
      </c>
      <c r="M29">
        <f t="shared" si="6"/>
        <v>4.2250000000000074E-3</v>
      </c>
      <c r="N29">
        <f t="shared" si="13"/>
        <v>25</v>
      </c>
      <c r="O29">
        <f t="shared" si="14"/>
        <v>0.25</v>
      </c>
      <c r="P29">
        <f t="shared" si="15"/>
        <v>1.6436554898093241E-2</v>
      </c>
    </row>
    <row r="30" spans="1:16" ht="15.75" thickBot="1" x14ac:dyDescent="0.3">
      <c r="C30" s="12">
        <f>SUM(C6:C29)</f>
        <v>17.160000000000004</v>
      </c>
      <c r="D30" s="13">
        <f>AVERAGE(D6:D29)</f>
        <v>70</v>
      </c>
      <c r="E30" s="13">
        <f>AVERAGE(E6:E29)</f>
        <v>6</v>
      </c>
      <c r="F30" s="14">
        <f>AVERAGE(F6:F29)</f>
        <v>11.666666666666664</v>
      </c>
      <c r="H30" s="24">
        <f>SUM(H6:H29)</f>
        <v>17.16</v>
      </c>
      <c r="I30" s="25">
        <f>AVERAGE(I6:I29)</f>
        <v>75</v>
      </c>
      <c r="J30" s="25">
        <f>AVERAGE(J6:J29)</f>
        <v>6.5</v>
      </c>
      <c r="K30" s="26">
        <f>AVERAGE(K6:K29)</f>
        <v>11.53846153846154</v>
      </c>
    </row>
    <row r="32" spans="1:16" x14ac:dyDescent="0.25">
      <c r="C32">
        <f>+C30/24</f>
        <v>0.71500000000000019</v>
      </c>
      <c r="H32">
        <f>+H30-C30</f>
        <v>0</v>
      </c>
      <c r="I32">
        <f>+H32*D30</f>
        <v>0</v>
      </c>
    </row>
  </sheetData>
  <mergeCells count="3">
    <mergeCell ref="A1:F1"/>
    <mergeCell ref="H1:K1"/>
    <mergeCell ref="M1:O1"/>
  </mergeCells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I1116"/>
  <sheetViews>
    <sheetView tabSelected="1" zoomScale="70" zoomScaleNormal="70" workbookViewId="0">
      <pane ySplit="2" topLeftCell="A3" activePane="bottomLeft" state="frozen"/>
      <selection pane="bottomLeft" activeCell="E18" sqref="E18"/>
    </sheetView>
  </sheetViews>
  <sheetFormatPr baseColWidth="10" defaultRowHeight="15" x14ac:dyDescent="0.25"/>
  <cols>
    <col min="2" max="2" width="0" hidden="1" customWidth="1"/>
    <col min="3" max="3" width="20.28515625" hidden="1" customWidth="1"/>
    <col min="4" max="4" width="13.42578125" bestFit="1" customWidth="1"/>
    <col min="5" max="5" width="15.28515625" customWidth="1"/>
    <col min="7" max="7" width="14.85546875" bestFit="1" customWidth="1"/>
    <col min="9" max="9" width="17.42578125" bestFit="1" customWidth="1"/>
    <col min="10" max="11" width="14.85546875" customWidth="1"/>
    <col min="13" max="13" width="13.140625" bestFit="1" customWidth="1"/>
    <col min="14" max="14" width="5.28515625" bestFit="1" customWidth="1"/>
    <col min="15" max="15" width="12.140625" bestFit="1" customWidth="1"/>
    <col min="16" max="16" width="12.140625" customWidth="1"/>
    <col min="17" max="17" width="12" bestFit="1" customWidth="1"/>
  </cols>
  <sheetData>
    <row r="1" spans="1:35" x14ac:dyDescent="0.25">
      <c r="AI1">
        <f>1/24</f>
        <v>4.1666666666666664E-2</v>
      </c>
    </row>
    <row r="2" spans="1:35" x14ac:dyDescent="0.25">
      <c r="A2" t="s">
        <v>4</v>
      </c>
      <c r="B2" t="s">
        <v>14</v>
      </c>
      <c r="C2" t="s">
        <v>17</v>
      </c>
      <c r="D2" t="s">
        <v>19</v>
      </c>
      <c r="E2" t="s">
        <v>18</v>
      </c>
      <c r="F2" t="s">
        <v>20</v>
      </c>
      <c r="G2" t="s">
        <v>21</v>
      </c>
      <c r="H2" t="s">
        <v>22</v>
      </c>
      <c r="I2" t="s">
        <v>23</v>
      </c>
      <c r="J2" t="s">
        <v>26</v>
      </c>
      <c r="K2" t="s">
        <v>27</v>
      </c>
      <c r="L2" t="s">
        <v>24</v>
      </c>
      <c r="M2" t="s">
        <v>25</v>
      </c>
      <c r="N2" t="s">
        <v>28</v>
      </c>
      <c r="O2" t="s">
        <v>31</v>
      </c>
      <c r="P2" t="s">
        <v>30</v>
      </c>
      <c r="Q2" t="s">
        <v>29</v>
      </c>
    </row>
    <row r="3" spans="1:35" x14ac:dyDescent="0.25">
      <c r="A3" s="1">
        <v>0.83333333333423998</v>
      </c>
      <c r="B3">
        <v>0</v>
      </c>
      <c r="C3">
        <f t="shared" ref="C3:C66" si="0">MOD(INT(A3/Minute),1440)</f>
        <v>1200</v>
      </c>
      <c r="D3">
        <f>VLOOKUP($C3,Profile!$B$5:$K$29,2,TRUE)</f>
        <v>0.74</v>
      </c>
      <c r="E3" s="37">
        <f>VLOOKUP($C3,Profile!$B$5:$K$29,7,TRUE)</f>
        <v>0.71499999999999997</v>
      </c>
      <c r="F3">
        <f>+(E3-D3)/12</f>
        <v>-2.083333333333335E-3</v>
      </c>
      <c r="H3" s="37"/>
    </row>
    <row r="4" spans="1:35" x14ac:dyDescent="0.25">
      <c r="A4" s="1">
        <v>0.83680555555645997</v>
      </c>
      <c r="B4">
        <f>+B3+5</f>
        <v>5</v>
      </c>
      <c r="C4">
        <f t="shared" si="0"/>
        <v>1205</v>
      </c>
      <c r="D4">
        <f>VLOOKUP($C4,Profile!$B$5:$K$29,2,TRUE)</f>
        <v>0.74</v>
      </c>
      <c r="E4" s="37">
        <f>VLOOKUP($C4,Profile!$B$5:$K$29,7,TRUE)</f>
        <v>0.71499999999999997</v>
      </c>
      <c r="F4">
        <f t="shared" ref="F4:F67" si="1">+(E4-D4)/12</f>
        <v>-2.083333333333335E-3</v>
      </c>
      <c r="G4">
        <v>-1.0416490783305477E-5</v>
      </c>
      <c r="H4" s="37"/>
      <c r="I4">
        <v>0</v>
      </c>
      <c r="J4" s="38">
        <f>-VLOOKUP($C4,Profile!$B$5:$K$29,3,TRUE)*($G4+$I4)</f>
        <v>7.2915435483138333E-4</v>
      </c>
      <c r="K4" s="38"/>
      <c r="O4">
        <v>0</v>
      </c>
      <c r="P4" s="38">
        <f>VLOOKUP($C4,Profile!$B$5:$K$29,5,TRUE)*$O4</f>
        <v>0</v>
      </c>
    </row>
    <row r="5" spans="1:35" x14ac:dyDescent="0.25">
      <c r="A5" s="1">
        <v>0.84027777777867996</v>
      </c>
      <c r="B5">
        <f t="shared" ref="B5:B68" si="2">+B4+5</f>
        <v>10</v>
      </c>
      <c r="C5">
        <f t="shared" si="0"/>
        <v>1210</v>
      </c>
      <c r="D5">
        <f>VLOOKUP($C5,Profile!$B$5:$K$29,2,TRUE)</f>
        <v>0.74</v>
      </c>
      <c r="E5" s="37">
        <f>VLOOKUP($C5,Profile!$B$5:$K$29,7,TRUE)</f>
        <v>0.71499999999999997</v>
      </c>
      <c r="F5">
        <f t="shared" si="1"/>
        <v>-2.083333333333335E-3</v>
      </c>
      <c r="G5">
        <v>-3.0006084752808657E-5</v>
      </c>
      <c r="H5" s="37"/>
      <c r="I5">
        <v>0</v>
      </c>
      <c r="J5" s="38">
        <f>-VLOOKUP($C5,Profile!$B$5:$K$29,3,TRUE)*($G5+$I5)</f>
        <v>2.1004259326966061E-3</v>
      </c>
      <c r="K5" s="38"/>
      <c r="O5">
        <v>0</v>
      </c>
      <c r="P5" s="38">
        <f>VLOOKUP($C5,Profile!$B$5:$K$29,5,TRUE)*$O5</f>
        <v>0</v>
      </c>
    </row>
    <row r="6" spans="1:35" x14ac:dyDescent="0.25">
      <c r="A6" s="1">
        <v>0.84375000000089995</v>
      </c>
      <c r="B6">
        <f t="shared" si="2"/>
        <v>15</v>
      </c>
      <c r="C6">
        <f t="shared" si="0"/>
        <v>1215</v>
      </c>
      <c r="D6">
        <f>VLOOKUP($C6,Profile!$B$5:$K$29,2,TRUE)</f>
        <v>0.74</v>
      </c>
      <c r="E6" s="37">
        <f>VLOOKUP($C6,Profile!$B$5:$K$29,7,TRUE)</f>
        <v>0.71499999999999997</v>
      </c>
      <c r="F6">
        <f t="shared" si="1"/>
        <v>-2.083333333333335E-3</v>
      </c>
      <c r="G6">
        <v>-5.762849548454443E-5</v>
      </c>
      <c r="H6" s="37"/>
      <c r="I6">
        <v>0</v>
      </c>
      <c r="J6" s="38">
        <f>-VLOOKUP($C6,Profile!$B$5:$K$29,3,TRUE)*($G6+$I6)</f>
        <v>4.0339946839181105E-3</v>
      </c>
      <c r="K6" s="38"/>
      <c r="O6">
        <v>0</v>
      </c>
      <c r="P6" s="38">
        <f>VLOOKUP($C6,Profile!$B$5:$K$29,5,TRUE)*$O6</f>
        <v>0</v>
      </c>
    </row>
    <row r="7" spans="1:35" x14ac:dyDescent="0.25">
      <c r="A7" s="1">
        <v>0.84722222222312005</v>
      </c>
      <c r="B7">
        <f t="shared" si="2"/>
        <v>20</v>
      </c>
      <c r="C7">
        <f t="shared" si="0"/>
        <v>1220</v>
      </c>
      <c r="D7">
        <f>VLOOKUP($C7,Profile!$B$5:$K$29,2,TRUE)</f>
        <v>0.74</v>
      </c>
      <c r="E7" s="37">
        <f>VLOOKUP($C7,Profile!$B$5:$K$29,7,TRUE)</f>
        <v>0.71499999999999997</v>
      </c>
      <c r="F7">
        <f t="shared" si="1"/>
        <v>-2.083333333333335E-3</v>
      </c>
      <c r="G7">
        <v>-9.2239285277759378E-5</v>
      </c>
      <c r="H7" s="37"/>
      <c r="I7">
        <v>0</v>
      </c>
      <c r="J7" s="38">
        <f>-VLOOKUP($C7,Profile!$B$5:$K$29,3,TRUE)*($G7+$I7)</f>
        <v>6.4567499694431563E-3</v>
      </c>
      <c r="K7" s="38"/>
      <c r="O7">
        <v>0</v>
      </c>
      <c r="P7" s="38">
        <f>VLOOKUP($C7,Profile!$B$5:$K$29,5,TRUE)*$O7</f>
        <v>0</v>
      </c>
    </row>
    <row r="8" spans="1:35" x14ac:dyDescent="0.25">
      <c r="A8" s="1">
        <v>0.85069444444534004</v>
      </c>
      <c r="B8">
        <f t="shared" si="2"/>
        <v>25</v>
      </c>
      <c r="C8">
        <f t="shared" si="0"/>
        <v>1225</v>
      </c>
      <c r="D8">
        <f>VLOOKUP($C8,Profile!$B$5:$K$29,2,TRUE)</f>
        <v>0.74</v>
      </c>
      <c r="E8" s="37">
        <f>VLOOKUP($C8,Profile!$B$5:$K$29,7,TRUE)</f>
        <v>0.71499999999999997</v>
      </c>
      <c r="F8">
        <f t="shared" si="1"/>
        <v>-2.083333333333335E-3</v>
      </c>
      <c r="G8">
        <v>-1.3288307616201193E-4</v>
      </c>
      <c r="H8" s="37"/>
      <c r="I8">
        <v>0</v>
      </c>
      <c r="J8" s="38">
        <f>-VLOOKUP($C8,Profile!$B$5:$K$29,3,TRUE)*($G8+$I8)</f>
        <v>9.3018153313408347E-3</v>
      </c>
      <c r="K8" s="38"/>
      <c r="O8">
        <v>0</v>
      </c>
      <c r="P8" s="38">
        <f>VLOOKUP($C8,Profile!$B$5:$K$29,5,TRUE)*$O8</f>
        <v>0</v>
      </c>
    </row>
    <row r="9" spans="1:35" x14ac:dyDescent="0.25">
      <c r="A9" s="1">
        <v>0.85416666666756003</v>
      </c>
      <c r="B9">
        <f t="shared" si="2"/>
        <v>30</v>
      </c>
      <c r="C9">
        <f t="shared" si="0"/>
        <v>1230</v>
      </c>
      <c r="D9">
        <f>VLOOKUP($C9,Profile!$B$5:$K$29,2,TRUE)</f>
        <v>0.74</v>
      </c>
      <c r="E9" s="37">
        <f>VLOOKUP($C9,Profile!$B$5:$K$29,7,TRUE)</f>
        <v>0.71499999999999997</v>
      </c>
      <c r="F9">
        <f t="shared" si="1"/>
        <v>-2.083333333333335E-3</v>
      </c>
      <c r="G9">
        <v>-1.7868719656633753E-4</v>
      </c>
      <c r="H9" s="37"/>
      <c r="I9">
        <v>0</v>
      </c>
      <c r="J9" s="38">
        <f>-VLOOKUP($C9,Profile!$B$5:$K$29,3,TRUE)*($G9+$I9)</f>
        <v>1.2508103759643627E-2</v>
      </c>
      <c r="K9" s="38"/>
      <c r="O9">
        <v>0</v>
      </c>
      <c r="P9" s="38">
        <f>VLOOKUP($C9,Profile!$B$5:$K$29,5,TRUE)*$O9</f>
        <v>0</v>
      </c>
    </row>
    <row r="10" spans="1:35" x14ac:dyDescent="0.25">
      <c r="A10" s="1">
        <v>0.85763888888978002</v>
      </c>
      <c r="B10">
        <f t="shared" si="2"/>
        <v>35</v>
      </c>
      <c r="C10">
        <f t="shared" si="0"/>
        <v>1235</v>
      </c>
      <c r="D10">
        <f>VLOOKUP($C10,Profile!$B$5:$K$29,2,TRUE)</f>
        <v>0.74</v>
      </c>
      <c r="E10" s="37">
        <f>VLOOKUP($C10,Profile!$B$5:$K$29,7,TRUE)</f>
        <v>0.71499999999999997</v>
      </c>
      <c r="F10">
        <f t="shared" si="1"/>
        <v>-2.083333333333335E-3</v>
      </c>
      <c r="G10">
        <v>-2.2885573744869258E-4</v>
      </c>
      <c r="H10" s="37"/>
      <c r="I10">
        <v>0</v>
      </c>
      <c r="J10" s="38">
        <f>-VLOOKUP($C10,Profile!$B$5:$K$29,3,TRUE)*($G10+$I10)</f>
        <v>1.601990162140848E-2</v>
      </c>
      <c r="K10" s="38"/>
      <c r="O10">
        <v>0</v>
      </c>
      <c r="P10" s="38">
        <f>VLOOKUP($C10,Profile!$B$5:$K$29,5,TRUE)*$O10</f>
        <v>0</v>
      </c>
    </row>
    <row r="11" spans="1:35" x14ac:dyDescent="0.25">
      <c r="A11" s="1">
        <v>0.86111111111200001</v>
      </c>
      <c r="B11">
        <f t="shared" si="2"/>
        <v>40</v>
      </c>
      <c r="C11">
        <f t="shared" si="0"/>
        <v>1240</v>
      </c>
      <c r="D11">
        <f>VLOOKUP($C11,Profile!$B$5:$K$29,2,TRUE)</f>
        <v>0.74</v>
      </c>
      <c r="E11" s="37">
        <f>VLOOKUP($C11,Profile!$B$5:$K$29,7,TRUE)</f>
        <v>0.71499999999999997</v>
      </c>
      <c r="F11">
        <f t="shared" si="1"/>
        <v>-2.083333333333335E-3</v>
      </c>
      <c r="G11">
        <v>-2.8266399318880187E-4</v>
      </c>
      <c r="H11" s="37"/>
      <c r="I11">
        <v>0</v>
      </c>
      <c r="J11" s="38">
        <f>-VLOOKUP($C11,Profile!$B$5:$K$29,3,TRUE)*($G11+$I11)</f>
        <v>1.9786479523216133E-2</v>
      </c>
      <c r="K11" s="38"/>
      <c r="O11">
        <v>0</v>
      </c>
      <c r="P11" s="38">
        <f>VLOOKUP($C11,Profile!$B$5:$K$29,5,TRUE)*$O11</f>
        <v>0</v>
      </c>
    </row>
    <row r="12" spans="1:35" x14ac:dyDescent="0.25">
      <c r="A12" s="1">
        <v>0.86458333333421999</v>
      </c>
      <c r="B12">
        <f t="shared" si="2"/>
        <v>45</v>
      </c>
      <c r="C12">
        <f t="shared" si="0"/>
        <v>1245</v>
      </c>
      <c r="D12">
        <f>VLOOKUP($C12,Profile!$B$5:$K$29,2,TRUE)</f>
        <v>0.74</v>
      </c>
      <c r="E12" s="37">
        <f>VLOOKUP($C12,Profile!$B$5:$K$29,7,TRUE)</f>
        <v>0.71499999999999997</v>
      </c>
      <c r="F12">
        <f t="shared" si="1"/>
        <v>-2.083333333333335E-3</v>
      </c>
      <c r="G12">
        <v>-3.3945326396893848E-4</v>
      </c>
      <c r="H12" s="37"/>
      <c r="I12">
        <v>0</v>
      </c>
      <c r="J12" s="38">
        <f>-VLOOKUP($C12,Profile!$B$5:$K$29,3,TRUE)*($G12+$I12)</f>
        <v>2.3761728477825695E-2</v>
      </c>
      <c r="K12" s="38"/>
      <c r="O12">
        <v>0</v>
      </c>
      <c r="P12" s="38">
        <f>VLOOKUP($C12,Profile!$B$5:$K$29,5,TRUE)*$O12</f>
        <v>0</v>
      </c>
    </row>
    <row r="13" spans="1:35" x14ac:dyDescent="0.25">
      <c r="A13" s="1">
        <v>0.86805555555643998</v>
      </c>
      <c r="B13">
        <f t="shared" si="2"/>
        <v>50</v>
      </c>
      <c r="C13">
        <f t="shared" si="0"/>
        <v>1250</v>
      </c>
      <c r="D13">
        <f>VLOOKUP($C13,Profile!$B$5:$K$29,2,TRUE)</f>
        <v>0.74</v>
      </c>
      <c r="E13" s="37">
        <f>VLOOKUP($C13,Profile!$B$5:$K$29,7,TRUE)</f>
        <v>0.71499999999999997</v>
      </c>
      <c r="F13">
        <f t="shared" si="1"/>
        <v>-2.083333333333335E-3</v>
      </c>
      <c r="G13">
        <v>-3.9862599770957527E-4</v>
      </c>
      <c r="H13" s="37"/>
      <c r="I13">
        <v>0</v>
      </c>
      <c r="J13" s="38">
        <f>-VLOOKUP($C13,Profile!$B$5:$K$29,3,TRUE)*($G13+$I13)</f>
        <v>2.7903819839670271E-2</v>
      </c>
      <c r="K13" s="38"/>
      <c r="O13">
        <v>0</v>
      </c>
      <c r="P13" s="38">
        <f>VLOOKUP($C13,Profile!$B$5:$K$29,5,TRUE)*$O13</f>
        <v>0</v>
      </c>
    </row>
    <row r="14" spans="1:35" x14ac:dyDescent="0.25">
      <c r="A14" s="1">
        <v>0.87152777777865997</v>
      </c>
      <c r="B14">
        <f t="shared" si="2"/>
        <v>55</v>
      </c>
      <c r="C14">
        <f t="shared" si="0"/>
        <v>1255</v>
      </c>
      <c r="D14">
        <f>VLOOKUP($C14,Profile!$B$5:$K$29,2,TRUE)</f>
        <v>0.74</v>
      </c>
      <c r="E14" s="37">
        <f>VLOOKUP($C14,Profile!$B$5:$K$29,7,TRUE)</f>
        <v>0.71499999999999997</v>
      </c>
      <c r="F14">
        <f t="shared" si="1"/>
        <v>-2.083333333333335E-3</v>
      </c>
      <c r="G14">
        <v>-4.5964125089453426E-4</v>
      </c>
      <c r="H14" s="37"/>
      <c r="I14">
        <v>0</v>
      </c>
      <c r="J14" s="38">
        <f>-VLOOKUP($C14,Profile!$B$5:$K$29,3,TRUE)*($G14+$I14)</f>
        <v>3.2174887562617396E-2</v>
      </c>
      <c r="K14" s="38"/>
      <c r="O14">
        <v>0</v>
      </c>
      <c r="P14" s="38">
        <f>VLOOKUP($C14,Profile!$B$5:$K$29,5,TRUE)*$O14</f>
        <v>0</v>
      </c>
    </row>
    <row r="15" spans="1:35" x14ac:dyDescent="0.25">
      <c r="A15" s="1">
        <v>0.87500000000087996</v>
      </c>
      <c r="B15">
        <f t="shared" si="2"/>
        <v>60</v>
      </c>
      <c r="C15">
        <f t="shared" si="0"/>
        <v>1260</v>
      </c>
      <c r="D15">
        <f>VLOOKUP($C15,Profile!$B$5:$K$29,2,TRUE)</f>
        <v>0.74</v>
      </c>
      <c r="E15" s="37">
        <f>VLOOKUP($C15,Profile!$B$5:$K$29,7,TRUE)</f>
        <v>0.71499999999999997</v>
      </c>
      <c r="F15">
        <f t="shared" si="1"/>
        <v>-2.083333333333335E-3</v>
      </c>
      <c r="G15">
        <v>-5.2201044881727105E-4</v>
      </c>
      <c r="H15" s="37"/>
      <c r="I15">
        <v>0</v>
      </c>
      <c r="J15" s="38">
        <f>-VLOOKUP($C15,Profile!$B$5:$K$29,3,TRUE)*($G15+$I15)</f>
        <v>3.6540731417208976E-2</v>
      </c>
      <c r="K15" s="38"/>
      <c r="O15">
        <v>0</v>
      </c>
      <c r="P15" s="38">
        <f>VLOOKUP($C15,Profile!$B$5:$K$29,5,TRUE)*$O15</f>
        <v>0</v>
      </c>
    </row>
    <row r="16" spans="1:35" x14ac:dyDescent="0.25">
      <c r="A16" s="1">
        <v>0.87847222222309995</v>
      </c>
      <c r="B16">
        <f t="shared" si="2"/>
        <v>65</v>
      </c>
      <c r="C16">
        <f t="shared" si="0"/>
        <v>1265</v>
      </c>
      <c r="D16">
        <f>VLOOKUP($C16,Profile!$B$5:$K$29,2,TRUE)</f>
        <v>0.74</v>
      </c>
      <c r="E16" s="37">
        <f>VLOOKUP($C16,Profile!$B$5:$K$29,7,TRUE)</f>
        <v>0.71499999999999997</v>
      </c>
      <c r="F16">
        <f t="shared" si="1"/>
        <v>-2.083333333333335E-3</v>
      </c>
      <c r="G16">
        <v>-5.8529342691009828E-4</v>
      </c>
      <c r="H16" s="37"/>
      <c r="I16">
        <v>0</v>
      </c>
      <c r="J16" s="38">
        <f>-VLOOKUP($C16,Profile!$B$5:$K$29,3,TRUE)*($G16+$I16)</f>
        <v>4.0970539883706879E-2</v>
      </c>
      <c r="K16" s="38"/>
      <c r="O16">
        <v>0</v>
      </c>
      <c r="P16" s="38">
        <f>VLOOKUP($C16,Profile!$B$5:$K$29,5,TRUE)*$O16</f>
        <v>0</v>
      </c>
    </row>
    <row r="17" spans="1:16" x14ac:dyDescent="0.25">
      <c r="A17" s="1">
        <v>0.88194444444530995</v>
      </c>
      <c r="B17">
        <f t="shared" si="2"/>
        <v>70</v>
      </c>
      <c r="C17">
        <f t="shared" si="0"/>
        <v>1270</v>
      </c>
      <c r="D17">
        <f>VLOOKUP($C17,Profile!$B$5:$K$29,2,TRUE)</f>
        <v>0.74</v>
      </c>
      <c r="E17" s="37">
        <f>VLOOKUP($C17,Profile!$B$5:$K$29,7,TRUE)</f>
        <v>0.71499999999999997</v>
      </c>
      <c r="F17">
        <f t="shared" si="1"/>
        <v>-2.083333333333335E-3</v>
      </c>
      <c r="G17">
        <v>-6.4909473588510634E-4</v>
      </c>
      <c r="H17" s="37"/>
      <c r="I17">
        <v>0</v>
      </c>
      <c r="J17" s="38">
        <f>-VLOOKUP($C17,Profile!$B$5:$K$29,3,TRUE)*($G17+$I17)</f>
        <v>4.5436631511957447E-2</v>
      </c>
      <c r="K17" s="38"/>
      <c r="O17">
        <v>0</v>
      </c>
      <c r="P17" s="38">
        <f>VLOOKUP($C17,Profile!$B$5:$K$29,5,TRUE)*$O17</f>
        <v>0</v>
      </c>
    </row>
    <row r="18" spans="1:16" x14ac:dyDescent="0.25">
      <c r="A18" s="1">
        <v>0.88541666666753005</v>
      </c>
      <c r="B18">
        <f t="shared" si="2"/>
        <v>75</v>
      </c>
      <c r="C18">
        <f t="shared" si="0"/>
        <v>1275</v>
      </c>
      <c r="D18">
        <f>VLOOKUP($C18,Profile!$B$5:$K$29,2,TRUE)</f>
        <v>0.74</v>
      </c>
      <c r="E18" s="37">
        <f>VLOOKUP($C18,Profile!$B$5:$K$29,7,TRUE)</f>
        <v>0.71499999999999997</v>
      </c>
      <c r="F18">
        <f t="shared" si="1"/>
        <v>-2.083333333333335E-3</v>
      </c>
      <c r="G18">
        <v>-7.1306019442270944E-4</v>
      </c>
      <c r="H18" s="37"/>
      <c r="I18">
        <v>0</v>
      </c>
      <c r="J18" s="38">
        <f>-VLOOKUP($C18,Profile!$B$5:$K$29,3,TRUE)*($G18+$I18)</f>
        <v>4.9914213609589662E-2</v>
      </c>
      <c r="K18" s="38"/>
      <c r="O18">
        <v>0</v>
      </c>
      <c r="P18" s="38">
        <f>VLOOKUP($C18,Profile!$B$5:$K$29,5,TRUE)*$O18</f>
        <v>0</v>
      </c>
    </row>
    <row r="19" spans="1:16" x14ac:dyDescent="0.25">
      <c r="A19" s="1">
        <v>0.88888888888975004</v>
      </c>
      <c r="B19">
        <f t="shared" si="2"/>
        <v>80</v>
      </c>
      <c r="C19">
        <f t="shared" si="0"/>
        <v>1280</v>
      </c>
      <c r="D19">
        <f>VLOOKUP($C19,Profile!$B$5:$K$29,2,TRUE)</f>
        <v>0.74</v>
      </c>
      <c r="E19" s="37">
        <f>VLOOKUP($C19,Profile!$B$5:$K$29,7,TRUE)</f>
        <v>0.71499999999999997</v>
      </c>
      <c r="F19">
        <f t="shared" si="1"/>
        <v>-2.083333333333335E-3</v>
      </c>
      <c r="G19">
        <v>-7.768736740943967E-4</v>
      </c>
      <c r="H19" s="37"/>
      <c r="I19">
        <v>0</v>
      </c>
      <c r="J19" s="38">
        <f>-VLOOKUP($C19,Profile!$B$5:$K$29,3,TRUE)*($G19+$I19)</f>
        <v>5.438115718660777E-2</v>
      </c>
      <c r="K19" s="38"/>
      <c r="O19">
        <v>0</v>
      </c>
      <c r="P19" s="38">
        <f>VLOOKUP($C19,Profile!$B$5:$K$29,5,TRUE)*$O19</f>
        <v>0</v>
      </c>
    </row>
    <row r="20" spans="1:16" x14ac:dyDescent="0.25">
      <c r="A20" s="1">
        <v>0.89236111111197003</v>
      </c>
      <c r="B20">
        <f t="shared" si="2"/>
        <v>85</v>
      </c>
      <c r="C20">
        <f t="shared" si="0"/>
        <v>1285</v>
      </c>
      <c r="D20">
        <f>VLOOKUP($C20,Profile!$B$5:$K$29,2,TRUE)</f>
        <v>0.74</v>
      </c>
      <c r="E20" s="37">
        <f>VLOOKUP($C20,Profile!$B$5:$K$29,7,TRUE)</f>
        <v>0.71499999999999997</v>
      </c>
      <c r="F20">
        <f t="shared" si="1"/>
        <v>-2.083333333333335E-3</v>
      </c>
      <c r="G20">
        <v>-8.4025410210346947E-4</v>
      </c>
      <c r="H20" s="37"/>
      <c r="I20">
        <v>0</v>
      </c>
      <c r="J20" s="38">
        <f>-VLOOKUP($C20,Profile!$B$5:$K$29,3,TRUE)*($G20+$I20)</f>
        <v>5.881778714724286E-2</v>
      </c>
      <c r="K20" s="38"/>
      <c r="O20">
        <v>0</v>
      </c>
      <c r="P20" s="38">
        <f>VLOOKUP($C20,Profile!$B$5:$K$29,5,TRUE)*$O20</f>
        <v>0</v>
      </c>
    </row>
    <row r="21" spans="1:16" x14ac:dyDescent="0.25">
      <c r="A21" s="1">
        <v>0.89583333333419002</v>
      </c>
      <c r="B21">
        <f t="shared" si="2"/>
        <v>90</v>
      </c>
      <c r="C21">
        <f t="shared" si="0"/>
        <v>1290</v>
      </c>
      <c r="D21">
        <f>VLOOKUP($C21,Profile!$B$5:$K$29,2,TRUE)</f>
        <v>0.74</v>
      </c>
      <c r="E21" s="37">
        <f>VLOOKUP($C21,Profile!$B$5:$K$29,7,TRUE)</f>
        <v>0.71499999999999997</v>
      </c>
      <c r="F21">
        <f t="shared" si="1"/>
        <v>-2.083333333333335E-3</v>
      </c>
      <c r="G21">
        <v>-9.0295266827422258E-4</v>
      </c>
      <c r="H21" s="37"/>
      <c r="I21">
        <v>0</v>
      </c>
      <c r="J21" s="38">
        <f>-VLOOKUP($C21,Profile!$B$5:$K$29,3,TRUE)*($G21+$I21)</f>
        <v>6.3206686779195581E-2</v>
      </c>
      <c r="K21" s="38"/>
      <c r="O21">
        <v>0</v>
      </c>
      <c r="P21" s="38">
        <f>VLOOKUP($C21,Profile!$B$5:$K$29,5,TRUE)*$O21</f>
        <v>0</v>
      </c>
    </row>
    <row r="22" spans="1:16" x14ac:dyDescent="0.25">
      <c r="A22" s="1">
        <v>0.89930555555641001</v>
      </c>
      <c r="B22">
        <f t="shared" si="2"/>
        <v>95</v>
      </c>
      <c r="C22">
        <f t="shared" si="0"/>
        <v>1295</v>
      </c>
      <c r="D22">
        <f>VLOOKUP($C22,Profile!$B$5:$K$29,2,TRUE)</f>
        <v>0.74</v>
      </c>
      <c r="E22" s="37">
        <f>VLOOKUP($C22,Profile!$B$5:$K$29,7,TRUE)</f>
        <v>0.71499999999999997</v>
      </c>
      <c r="F22">
        <f t="shared" si="1"/>
        <v>-2.083333333333335E-3</v>
      </c>
      <c r="G22">
        <v>-9.6475022351893459E-4</v>
      </c>
      <c r="H22" s="37"/>
      <c r="I22">
        <v>0</v>
      </c>
      <c r="J22" s="38">
        <f>-VLOOKUP($C22,Profile!$B$5:$K$29,3,TRUE)*($G22+$I22)</f>
        <v>6.7532515646325425E-2</v>
      </c>
      <c r="K22" s="38"/>
      <c r="O22">
        <v>0</v>
      </c>
      <c r="P22" s="38">
        <f>VLOOKUP($C22,Profile!$B$5:$K$29,5,TRUE)*$O22</f>
        <v>0</v>
      </c>
    </row>
    <row r="23" spans="1:16" x14ac:dyDescent="0.25">
      <c r="A23" s="1">
        <v>0.90277777777863</v>
      </c>
      <c r="B23">
        <f t="shared" si="2"/>
        <v>100</v>
      </c>
      <c r="C23">
        <f t="shared" si="0"/>
        <v>1300</v>
      </c>
      <c r="D23">
        <f>VLOOKUP($C23,Profile!$B$5:$K$29,2,TRUE)</f>
        <v>0.74</v>
      </c>
      <c r="E23" s="37">
        <f>VLOOKUP($C23,Profile!$B$5:$K$29,7,TRUE)</f>
        <v>0.71499999999999997</v>
      </c>
      <c r="F23">
        <f t="shared" si="1"/>
        <v>-2.083333333333335E-3</v>
      </c>
      <c r="G23">
        <v>-1.0254548577657886E-3</v>
      </c>
      <c r="H23" s="37"/>
      <c r="I23">
        <v>0</v>
      </c>
      <c r="J23" s="38">
        <f>-VLOOKUP($C23,Profile!$B$5:$K$29,3,TRUE)*($G23+$I23)</f>
        <v>7.1781840043605202E-2</v>
      </c>
      <c r="K23" s="38"/>
      <c r="O23">
        <v>0</v>
      </c>
      <c r="P23" s="38">
        <f>VLOOKUP($C23,Profile!$B$5:$K$29,5,TRUE)*$O23</f>
        <v>0</v>
      </c>
    </row>
    <row r="24" spans="1:16" x14ac:dyDescent="0.25">
      <c r="A24" s="1">
        <v>0.90625000000084999</v>
      </c>
      <c r="B24">
        <f t="shared" si="2"/>
        <v>105</v>
      </c>
      <c r="C24">
        <f t="shared" si="0"/>
        <v>1305</v>
      </c>
      <c r="D24">
        <f>VLOOKUP($C24,Profile!$B$5:$K$29,2,TRUE)</f>
        <v>0.74</v>
      </c>
      <c r="E24" s="37">
        <f>VLOOKUP($C24,Profile!$B$5:$K$29,7,TRUE)</f>
        <v>0.71499999999999997</v>
      </c>
      <c r="F24">
        <f t="shared" si="1"/>
        <v>-2.083333333333335E-3</v>
      </c>
      <c r="G24">
        <v>-1.0848996460419214E-3</v>
      </c>
      <c r="H24" s="37"/>
      <c r="I24">
        <v>0</v>
      </c>
      <c r="J24" s="38">
        <f>-VLOOKUP($C24,Profile!$B$5:$K$29,3,TRUE)*($G24+$I24)</f>
        <v>7.59429752229345E-2</v>
      </c>
      <c r="K24" s="38"/>
      <c r="O24">
        <v>0</v>
      </c>
      <c r="P24" s="38">
        <f>VLOOKUP($C24,Profile!$B$5:$K$29,5,TRUE)*$O24</f>
        <v>0</v>
      </c>
    </row>
    <row r="25" spans="1:16" x14ac:dyDescent="0.25">
      <c r="A25" s="1">
        <v>0.90972222222306998</v>
      </c>
      <c r="B25">
        <f t="shared" si="2"/>
        <v>110</v>
      </c>
      <c r="C25">
        <f t="shared" si="0"/>
        <v>1310</v>
      </c>
      <c r="D25">
        <f>VLOOKUP($C25,Profile!$B$5:$K$29,2,TRUE)</f>
        <v>0.74</v>
      </c>
      <c r="E25" s="37">
        <f>VLOOKUP($C25,Profile!$B$5:$K$29,7,TRUE)</f>
        <v>0.71499999999999997</v>
      </c>
      <c r="F25">
        <f t="shared" si="1"/>
        <v>-2.083333333333335E-3</v>
      </c>
      <c r="G25">
        <v>-1.142940552076536E-3</v>
      </c>
      <c r="H25" s="37"/>
      <c r="I25">
        <v>0</v>
      </c>
      <c r="J25" s="38">
        <f>-VLOOKUP($C25,Profile!$B$5:$K$29,3,TRUE)*($G25+$I25)</f>
        <v>8.0005838645357527E-2</v>
      </c>
      <c r="K25" s="38"/>
      <c r="O25">
        <v>0</v>
      </c>
      <c r="P25" s="38">
        <f>VLOOKUP($C25,Profile!$B$5:$K$29,5,TRUE)*$O25</f>
        <v>0</v>
      </c>
    </row>
    <row r="26" spans="1:16" x14ac:dyDescent="0.25">
      <c r="A26" s="1">
        <v>0.91319444444528997</v>
      </c>
      <c r="B26">
        <f t="shared" si="2"/>
        <v>115</v>
      </c>
      <c r="C26">
        <f t="shared" si="0"/>
        <v>1315</v>
      </c>
      <c r="D26">
        <f>VLOOKUP($C26,Profile!$B$5:$K$29,2,TRUE)</f>
        <v>0.74</v>
      </c>
      <c r="E26" s="37">
        <f>VLOOKUP($C26,Profile!$B$5:$K$29,7,TRUE)</f>
        <v>0.71499999999999997</v>
      </c>
      <c r="F26">
        <f t="shared" si="1"/>
        <v>-2.083333333333335E-3</v>
      </c>
      <c r="G26">
        <v>-1.1994544794216315E-3</v>
      </c>
      <c r="H26" s="37"/>
      <c r="I26">
        <v>0</v>
      </c>
      <c r="J26" s="38">
        <f>-VLOOKUP($C26,Profile!$B$5:$K$29,3,TRUE)*($G26+$I26)</f>
        <v>8.3961813559514209E-2</v>
      </c>
      <c r="K26" s="38"/>
      <c r="O26">
        <v>0</v>
      </c>
      <c r="P26" s="38">
        <f>VLOOKUP($C26,Profile!$B$5:$K$29,5,TRUE)*$O26</f>
        <v>0</v>
      </c>
    </row>
    <row r="27" spans="1:16" x14ac:dyDescent="0.25">
      <c r="A27" s="1">
        <v>0.91666666666750996</v>
      </c>
      <c r="B27">
        <f t="shared" si="2"/>
        <v>120</v>
      </c>
      <c r="C27">
        <f t="shared" si="0"/>
        <v>1320</v>
      </c>
      <c r="D27">
        <f>VLOOKUP($C27,Profile!$B$5:$K$29,2,TRUE)</f>
        <v>0.76</v>
      </c>
      <c r="E27" s="37">
        <f>VLOOKUP($C27,Profile!$B$5:$K$29,7,TRUE)</f>
        <v>0.71499999999999997</v>
      </c>
      <c r="F27">
        <f t="shared" si="1"/>
        <v>-3.7500000000000033E-3</v>
      </c>
      <c r="G27">
        <v>-1.2543374606845015E-3</v>
      </c>
      <c r="H27" s="37"/>
      <c r="I27">
        <v>0</v>
      </c>
      <c r="J27" s="38">
        <f>-VLOOKUP($C27,Profile!$B$5:$K$29,3,TRUE)*($G27+$I27)</f>
        <v>8.7803622247915103E-2</v>
      </c>
      <c r="K27" s="38"/>
      <c r="O27">
        <v>0</v>
      </c>
      <c r="P27" s="38">
        <f>VLOOKUP($C27,Profile!$B$5:$K$29,5,TRUE)*$O27</f>
        <v>0</v>
      </c>
    </row>
    <row r="28" spans="1:16" x14ac:dyDescent="0.25">
      <c r="A28" s="1">
        <v>0.92013888888972994</v>
      </c>
      <c r="B28">
        <f t="shared" si="2"/>
        <v>125</v>
      </c>
      <c r="C28">
        <f t="shared" si="0"/>
        <v>1325</v>
      </c>
      <c r="D28">
        <f>VLOOKUP($C28,Profile!$B$5:$K$29,2,TRUE)</f>
        <v>0.76</v>
      </c>
      <c r="E28" s="37">
        <f>VLOOKUP($C28,Profile!$B$5:$K$29,7,TRUE)</f>
        <v>0.71499999999999997</v>
      </c>
      <c r="F28">
        <f t="shared" si="1"/>
        <v>-3.7500000000000033E-3</v>
      </c>
      <c r="G28">
        <v>-1.3158361686553463E-3</v>
      </c>
      <c r="H28" s="37"/>
      <c r="I28">
        <v>0</v>
      </c>
      <c r="J28" s="38">
        <f>-VLOOKUP($C28,Profile!$B$5:$K$29,3,TRUE)*($G28+$I28)</f>
        <v>9.210853180587425E-2</v>
      </c>
      <c r="K28" s="38"/>
      <c r="O28">
        <v>0</v>
      </c>
      <c r="P28" s="38">
        <f>VLOOKUP($C28,Profile!$B$5:$K$29,5,TRUE)*$O28</f>
        <v>0</v>
      </c>
    </row>
    <row r="29" spans="1:16" x14ac:dyDescent="0.25">
      <c r="A29" s="1">
        <v>0.92361111111195004</v>
      </c>
      <c r="B29">
        <f t="shared" si="2"/>
        <v>130</v>
      </c>
      <c r="C29">
        <f t="shared" si="0"/>
        <v>1330</v>
      </c>
      <c r="D29">
        <f>VLOOKUP($C29,Profile!$B$5:$K$29,2,TRUE)</f>
        <v>0.76</v>
      </c>
      <c r="E29" s="37">
        <f>VLOOKUP($C29,Profile!$B$5:$K$29,7,TRUE)</f>
        <v>0.71499999999999997</v>
      </c>
      <c r="F29">
        <f t="shared" si="1"/>
        <v>-3.7500000000000033E-3</v>
      </c>
      <c r="G29">
        <v>-1.3828852604328469E-3</v>
      </c>
      <c r="H29" s="37"/>
      <c r="I29">
        <v>0</v>
      </c>
      <c r="J29" s="38">
        <f>-VLOOKUP($C29,Profile!$B$5:$K$29,3,TRUE)*($G29+$I29)</f>
        <v>9.6801968230299282E-2</v>
      </c>
      <c r="K29" s="38"/>
      <c r="O29">
        <v>0</v>
      </c>
      <c r="P29" s="38">
        <f>VLOOKUP($C29,Profile!$B$5:$K$29,5,TRUE)*$O29</f>
        <v>0</v>
      </c>
    </row>
    <row r="30" spans="1:16" x14ac:dyDescent="0.25">
      <c r="A30" s="1">
        <v>0.92708333333417003</v>
      </c>
      <c r="B30">
        <f t="shared" si="2"/>
        <v>135</v>
      </c>
      <c r="C30">
        <f t="shared" si="0"/>
        <v>1335</v>
      </c>
      <c r="D30">
        <f>VLOOKUP($C30,Profile!$B$5:$K$29,2,TRUE)</f>
        <v>0.76</v>
      </c>
      <c r="E30" s="37">
        <f>VLOOKUP($C30,Profile!$B$5:$K$29,7,TRUE)</f>
        <v>0.71499999999999997</v>
      </c>
      <c r="F30">
        <f t="shared" si="1"/>
        <v>-3.7500000000000033E-3</v>
      </c>
      <c r="G30">
        <v>-1.4545163136662454E-3</v>
      </c>
      <c r="H30" s="37"/>
      <c r="I30">
        <v>0</v>
      </c>
      <c r="J30" s="38">
        <f>-VLOOKUP($C30,Profile!$B$5:$K$29,3,TRUE)*($G30+$I30)</f>
        <v>0.10181614195663719</v>
      </c>
      <c r="K30" s="38"/>
      <c r="O30">
        <v>0</v>
      </c>
      <c r="P30" s="38">
        <f>VLOOKUP($C30,Profile!$B$5:$K$29,5,TRUE)*$O30</f>
        <v>0</v>
      </c>
    </row>
    <row r="31" spans="1:16" x14ac:dyDescent="0.25">
      <c r="A31" s="1">
        <v>0.93055555555639002</v>
      </c>
      <c r="B31">
        <f t="shared" si="2"/>
        <v>140</v>
      </c>
      <c r="C31">
        <f t="shared" si="0"/>
        <v>1340</v>
      </c>
      <c r="D31">
        <f>VLOOKUP($C31,Profile!$B$5:$K$29,2,TRUE)</f>
        <v>0.76</v>
      </c>
      <c r="E31" s="37">
        <f>VLOOKUP($C31,Profile!$B$5:$K$29,7,TRUE)</f>
        <v>0.71499999999999997</v>
      </c>
      <c r="F31">
        <f t="shared" si="1"/>
        <v>-3.7500000000000033E-3</v>
      </c>
      <c r="G31">
        <v>-1.5298506829957681E-3</v>
      </c>
      <c r="H31" s="37"/>
      <c r="I31">
        <v>0</v>
      </c>
      <c r="J31" s="38">
        <f>-VLOOKUP($C31,Profile!$B$5:$K$29,3,TRUE)*($G31+$I31)</f>
        <v>0.10708954780970377</v>
      </c>
      <c r="K31" s="38"/>
      <c r="O31">
        <v>0</v>
      </c>
      <c r="P31" s="38">
        <f>VLOOKUP($C31,Profile!$B$5:$K$29,5,TRUE)*$O31</f>
        <v>0</v>
      </c>
    </row>
    <row r="32" spans="1:16" x14ac:dyDescent="0.25">
      <c r="A32" s="1">
        <v>0.93402777777861001</v>
      </c>
      <c r="B32">
        <f t="shared" si="2"/>
        <v>145</v>
      </c>
      <c r="C32">
        <f t="shared" si="0"/>
        <v>1345</v>
      </c>
      <c r="D32">
        <f>VLOOKUP($C32,Profile!$B$5:$K$29,2,TRUE)</f>
        <v>0.76</v>
      </c>
      <c r="E32" s="37">
        <f>VLOOKUP($C32,Profile!$B$5:$K$29,7,TRUE)</f>
        <v>0.71499999999999997</v>
      </c>
      <c r="F32">
        <f t="shared" si="1"/>
        <v>-3.7500000000000033E-3</v>
      </c>
      <c r="G32">
        <v>-1.6080928261624353E-3</v>
      </c>
      <c r="H32" s="37"/>
      <c r="I32">
        <v>0</v>
      </c>
      <c r="J32" s="38">
        <f>-VLOOKUP($C32,Profile!$B$5:$K$29,3,TRUE)*($G32+$I32)</f>
        <v>0.11256649783137047</v>
      </c>
      <c r="K32" s="38"/>
      <c r="O32">
        <v>0</v>
      </c>
      <c r="P32" s="38">
        <f>VLOOKUP($C32,Profile!$B$5:$K$29,5,TRUE)*$O32</f>
        <v>0</v>
      </c>
    </row>
    <row r="33" spans="1:16" x14ac:dyDescent="0.25">
      <c r="A33" s="1">
        <v>0.93750000000083</v>
      </c>
      <c r="B33">
        <f t="shared" si="2"/>
        <v>150</v>
      </c>
      <c r="C33">
        <f t="shared" si="0"/>
        <v>1350</v>
      </c>
      <c r="D33">
        <f>VLOOKUP($C33,Profile!$B$5:$K$29,2,TRUE)</f>
        <v>0.76</v>
      </c>
      <c r="E33" s="37">
        <f>VLOOKUP($C33,Profile!$B$5:$K$29,7,TRUE)</f>
        <v>0.71499999999999997</v>
      </c>
      <c r="F33">
        <f t="shared" si="1"/>
        <v>-3.7500000000000033E-3</v>
      </c>
      <c r="G33">
        <v>-1.6885240710725288E-3</v>
      </c>
      <c r="H33" s="37"/>
      <c r="I33">
        <v>0</v>
      </c>
      <c r="J33" s="38">
        <f>-VLOOKUP($C33,Profile!$B$5:$K$29,3,TRUE)*($G33+$I33)</f>
        <v>0.11819668497507702</v>
      </c>
      <c r="K33" s="38"/>
      <c r="O33">
        <v>0</v>
      </c>
      <c r="P33" s="38">
        <f>VLOOKUP($C33,Profile!$B$5:$K$29,5,TRUE)*$O33</f>
        <v>0</v>
      </c>
    </row>
    <row r="34" spans="1:16" x14ac:dyDescent="0.25">
      <c r="A34" s="1">
        <v>0.94097222222304999</v>
      </c>
      <c r="B34">
        <f t="shared" si="2"/>
        <v>155</v>
      </c>
      <c r="C34">
        <f t="shared" si="0"/>
        <v>1355</v>
      </c>
      <c r="D34">
        <f>VLOOKUP($C34,Profile!$B$5:$K$29,2,TRUE)</f>
        <v>0.76</v>
      </c>
      <c r="E34" s="37">
        <f>VLOOKUP($C34,Profile!$B$5:$K$29,7,TRUE)</f>
        <v>0.71499999999999997</v>
      </c>
      <c r="F34">
        <f t="shared" si="1"/>
        <v>-3.7500000000000033E-3</v>
      </c>
      <c r="G34">
        <v>-1.7704967967709497E-3</v>
      </c>
      <c r="H34" s="37"/>
      <c r="I34">
        <v>0</v>
      </c>
      <c r="J34" s="38">
        <f>-VLOOKUP($C34,Profile!$B$5:$K$29,3,TRUE)*($G34+$I34)</f>
        <v>0.12393477577396647</v>
      </c>
      <c r="K34" s="38"/>
      <c r="O34">
        <v>0</v>
      </c>
      <c r="P34" s="38">
        <f>VLOOKUP($C34,Profile!$B$5:$K$29,5,TRUE)*$O34</f>
        <v>0</v>
      </c>
    </row>
    <row r="35" spans="1:16" x14ac:dyDescent="0.25">
      <c r="A35" s="1">
        <v>0.94444444444526998</v>
      </c>
      <c r="B35">
        <f t="shared" si="2"/>
        <v>160</v>
      </c>
      <c r="C35">
        <f t="shared" si="0"/>
        <v>1360</v>
      </c>
      <c r="D35">
        <f>VLOOKUP($C35,Profile!$B$5:$K$29,2,TRUE)</f>
        <v>0.76</v>
      </c>
      <c r="E35" s="37">
        <f>VLOOKUP($C35,Profile!$B$5:$K$29,7,TRUE)</f>
        <v>0.71499999999999997</v>
      </c>
      <c r="F35">
        <f t="shared" si="1"/>
        <v>-3.7500000000000033E-3</v>
      </c>
      <c r="G35">
        <v>-1.853429002853212E-3</v>
      </c>
      <c r="H35" s="37"/>
      <c r="I35">
        <v>0</v>
      </c>
      <c r="J35" s="38">
        <f>-VLOOKUP($C35,Profile!$B$5:$K$29,3,TRUE)*($G35+$I35)</f>
        <v>0.12974003019972483</v>
      </c>
      <c r="K35" s="38"/>
      <c r="O35">
        <v>0</v>
      </c>
      <c r="P35" s="38">
        <f>VLOOKUP($C35,Profile!$B$5:$K$29,5,TRUE)*$O35</f>
        <v>0</v>
      </c>
    </row>
    <row r="36" spans="1:16" x14ac:dyDescent="0.25">
      <c r="A36" s="1">
        <v>0.94791666666748997</v>
      </c>
      <c r="B36">
        <f t="shared" si="2"/>
        <v>165</v>
      </c>
      <c r="C36">
        <f t="shared" si="0"/>
        <v>1365</v>
      </c>
      <c r="D36">
        <f>VLOOKUP($C36,Profile!$B$5:$K$29,2,TRUE)</f>
        <v>0.76</v>
      </c>
      <c r="E36" s="37">
        <f>VLOOKUP($C36,Profile!$B$5:$K$29,7,TRUE)</f>
        <v>0.71499999999999997</v>
      </c>
      <c r="F36">
        <f t="shared" si="1"/>
        <v>-3.7500000000000033E-3</v>
      </c>
      <c r="G36">
        <v>-1.9367992433329802E-3</v>
      </c>
      <c r="H36" s="37"/>
      <c r="I36">
        <v>0</v>
      </c>
      <c r="J36" s="38">
        <f>-VLOOKUP($C36,Profile!$B$5:$K$29,3,TRUE)*($G36+$I36)</f>
        <v>0.13557594703330861</v>
      </c>
      <c r="K36" s="38"/>
      <c r="O36">
        <v>0</v>
      </c>
      <c r="P36" s="38">
        <f>VLOOKUP($C36,Profile!$B$5:$K$29,5,TRUE)*$O36</f>
        <v>0</v>
      </c>
    </row>
    <row r="37" spans="1:16" x14ac:dyDescent="0.25">
      <c r="A37" s="1">
        <v>0.95138888888970996</v>
      </c>
      <c r="B37">
        <f t="shared" si="2"/>
        <v>170</v>
      </c>
      <c r="C37">
        <f t="shared" si="0"/>
        <v>1370</v>
      </c>
      <c r="D37">
        <f>VLOOKUP($C37,Profile!$B$5:$K$29,2,TRUE)</f>
        <v>0.76</v>
      </c>
      <c r="E37" s="37">
        <f>VLOOKUP($C37,Profile!$B$5:$K$29,7,TRUE)</f>
        <v>0.71499999999999997</v>
      </c>
      <c r="F37">
        <f t="shared" si="1"/>
        <v>-3.7500000000000033E-3</v>
      </c>
      <c r="G37">
        <v>-2.0201419023856515E-3</v>
      </c>
      <c r="H37" s="37"/>
      <c r="I37">
        <v>0</v>
      </c>
      <c r="J37" s="38">
        <f>-VLOOKUP($C37,Profile!$B$5:$K$29,3,TRUE)*($G37+$I37)</f>
        <v>0.1414099331669956</v>
      </c>
      <c r="K37" s="38"/>
      <c r="O37">
        <v>0</v>
      </c>
      <c r="P37" s="38">
        <f>VLOOKUP($C37,Profile!$B$5:$K$29,5,TRUE)*$O37</f>
        <v>0</v>
      </c>
    </row>
    <row r="38" spans="1:16" x14ac:dyDescent="0.25">
      <c r="A38" s="1">
        <v>0.95486111111192995</v>
      </c>
      <c r="B38">
        <f t="shared" si="2"/>
        <v>175</v>
      </c>
      <c r="C38">
        <f t="shared" si="0"/>
        <v>1375</v>
      </c>
      <c r="D38">
        <f>VLOOKUP($C38,Profile!$B$5:$K$29,2,TRUE)</f>
        <v>0.76</v>
      </c>
      <c r="E38" s="37">
        <f>VLOOKUP($C38,Profile!$B$5:$K$29,7,TRUE)</f>
        <v>0.71499999999999997</v>
      </c>
      <c r="F38">
        <f t="shared" si="1"/>
        <v>-3.7500000000000033E-3</v>
      </c>
      <c r="G38">
        <v>-2.1030427907130921E-3</v>
      </c>
      <c r="H38" s="37"/>
      <c r="I38">
        <v>0</v>
      </c>
      <c r="J38" s="38">
        <f>-VLOOKUP($C38,Profile!$B$5:$K$29,3,TRUE)*($G38+$I38)</f>
        <v>0.14721299534991644</v>
      </c>
      <c r="K38" s="38"/>
      <c r="O38">
        <v>0</v>
      </c>
      <c r="P38" s="38">
        <f>VLOOKUP($C38,Profile!$B$5:$K$29,5,TRUE)*$O38</f>
        <v>0</v>
      </c>
    </row>
    <row r="39" spans="1:16" x14ac:dyDescent="0.25">
      <c r="A39" s="1">
        <v>0.95833333333415005</v>
      </c>
      <c r="B39">
        <f t="shared" si="2"/>
        <v>180</v>
      </c>
      <c r="C39">
        <f t="shared" si="0"/>
        <v>1380</v>
      </c>
      <c r="D39">
        <f>VLOOKUP($C39,Profile!$B$5:$K$29,2,TRUE)</f>
        <v>0.78</v>
      </c>
      <c r="E39" s="37">
        <f>VLOOKUP($C39,Profile!$B$5:$K$29,7,TRUE)</f>
        <v>0.71499999999999997</v>
      </c>
      <c r="F39">
        <f t="shared" si="1"/>
        <v>-5.4166666666666712E-3</v>
      </c>
      <c r="G39">
        <v>-2.1851350425245836E-3</v>
      </c>
      <c r="H39" s="37"/>
      <c r="I39">
        <v>0</v>
      </c>
      <c r="J39" s="38">
        <f>-VLOOKUP($C39,Profile!$B$5:$K$29,3,TRUE)*($G39+$I39)</f>
        <v>0.15295945297672087</v>
      </c>
      <c r="K39" s="38"/>
      <c r="O39">
        <v>0</v>
      </c>
      <c r="P39" s="38">
        <f>VLOOKUP($C39,Profile!$B$5:$K$29,5,TRUE)*$O39</f>
        <v>0</v>
      </c>
    </row>
    <row r="40" spans="1:16" x14ac:dyDescent="0.25">
      <c r="A40" s="1">
        <v>0.96180555555637004</v>
      </c>
      <c r="B40">
        <f t="shared" si="2"/>
        <v>185</v>
      </c>
      <c r="C40">
        <f t="shared" si="0"/>
        <v>1385</v>
      </c>
      <c r="D40">
        <f>VLOOKUP($C40,Profile!$B$5:$K$29,2,TRUE)</f>
        <v>0.78</v>
      </c>
      <c r="E40" s="37">
        <f>VLOOKUP($C40,Profile!$B$5:$K$29,7,TRUE)</f>
        <v>0.71499999999999997</v>
      </c>
      <c r="F40">
        <f t="shared" si="1"/>
        <v>-5.4166666666666712E-3</v>
      </c>
      <c r="G40">
        <v>-2.2744284869349947E-3</v>
      </c>
      <c r="H40" s="37"/>
      <c r="I40">
        <v>0</v>
      </c>
      <c r="J40" s="38">
        <f>-VLOOKUP($C40,Profile!$B$5:$K$29,3,TRUE)*($G40+$I40)</f>
        <v>0.15920999408544964</v>
      </c>
      <c r="K40" s="38"/>
      <c r="O40">
        <v>0</v>
      </c>
      <c r="P40" s="38">
        <f>VLOOKUP($C40,Profile!$B$5:$K$29,5,TRUE)*$O40</f>
        <v>0</v>
      </c>
    </row>
    <row r="41" spans="1:16" x14ac:dyDescent="0.25">
      <c r="A41" s="1">
        <v>0.96527777777859003</v>
      </c>
      <c r="B41">
        <f t="shared" si="2"/>
        <v>190</v>
      </c>
      <c r="C41">
        <f t="shared" si="0"/>
        <v>1390</v>
      </c>
      <c r="D41">
        <f>VLOOKUP($C41,Profile!$B$5:$K$29,2,TRUE)</f>
        <v>0.78</v>
      </c>
      <c r="E41" s="37">
        <f>VLOOKUP($C41,Profile!$B$5:$K$29,7,TRUE)</f>
        <v>0.71499999999999997</v>
      </c>
      <c r="F41">
        <f t="shared" si="1"/>
        <v>-5.4166666666666712E-3</v>
      </c>
      <c r="G41">
        <v>-2.3696449954829038E-3</v>
      </c>
      <c r="H41" s="37"/>
      <c r="I41">
        <v>0</v>
      </c>
      <c r="J41" s="38">
        <f>-VLOOKUP($C41,Profile!$B$5:$K$29,3,TRUE)*($G41+$I41)</f>
        <v>0.16587514968380326</v>
      </c>
      <c r="K41" s="38"/>
      <c r="O41">
        <v>0</v>
      </c>
      <c r="P41" s="38">
        <f>VLOOKUP($C41,Profile!$B$5:$K$29,5,TRUE)*$O41</f>
        <v>0</v>
      </c>
    </row>
    <row r="42" spans="1:16" x14ac:dyDescent="0.25">
      <c r="A42" s="1">
        <v>0.96875000000081002</v>
      </c>
      <c r="B42">
        <f t="shared" si="2"/>
        <v>195</v>
      </c>
      <c r="C42">
        <f t="shared" si="0"/>
        <v>1395</v>
      </c>
      <c r="D42">
        <f>VLOOKUP($C42,Profile!$B$5:$K$29,2,TRUE)</f>
        <v>0.78</v>
      </c>
      <c r="E42" s="37">
        <f>VLOOKUP($C42,Profile!$B$5:$K$29,7,TRUE)</f>
        <v>0.71499999999999997</v>
      </c>
      <c r="F42">
        <f t="shared" si="1"/>
        <v>-5.4166666666666712E-3</v>
      </c>
      <c r="G42">
        <v>-2.4696255560366573E-3</v>
      </c>
      <c r="H42" s="37"/>
      <c r="I42">
        <v>0</v>
      </c>
      <c r="J42" s="38">
        <f>-VLOOKUP($C42,Profile!$B$5:$K$29,3,TRUE)*($G42+$I42)</f>
        <v>0.172873788922566</v>
      </c>
      <c r="K42" s="38"/>
      <c r="O42">
        <v>0</v>
      </c>
      <c r="P42" s="38">
        <f>VLOOKUP($C42,Profile!$B$5:$K$29,5,TRUE)*$O42</f>
        <v>0</v>
      </c>
    </row>
    <row r="43" spans="1:16" x14ac:dyDescent="0.25">
      <c r="A43" s="1">
        <v>0.97222222222303001</v>
      </c>
      <c r="B43">
        <f t="shared" si="2"/>
        <v>200</v>
      </c>
      <c r="C43">
        <f t="shared" si="0"/>
        <v>1400</v>
      </c>
      <c r="D43">
        <f>VLOOKUP($C43,Profile!$B$5:$K$29,2,TRUE)</f>
        <v>0.78</v>
      </c>
      <c r="E43" s="37">
        <f>VLOOKUP($C43,Profile!$B$5:$K$29,7,TRUE)</f>
        <v>0.71499999999999997</v>
      </c>
      <c r="F43">
        <f t="shared" si="1"/>
        <v>-5.4166666666666712E-3</v>
      </c>
      <c r="G43">
        <v>-2.5733213928382042E-3</v>
      </c>
      <c r="H43" s="37"/>
      <c r="I43">
        <v>0</v>
      </c>
      <c r="J43" s="38">
        <f>-VLOOKUP($C43,Profile!$B$5:$K$29,3,TRUE)*($G43+$I43)</f>
        <v>0.1801324974986743</v>
      </c>
      <c r="K43" s="38"/>
      <c r="O43">
        <v>0</v>
      </c>
      <c r="P43" s="38">
        <f>VLOOKUP($C43,Profile!$B$5:$K$29,5,TRUE)*$O43</f>
        <v>0</v>
      </c>
    </row>
    <row r="44" spans="1:16" x14ac:dyDescent="0.25">
      <c r="A44" s="1">
        <v>0.97569444444525</v>
      </c>
      <c r="B44">
        <f t="shared" si="2"/>
        <v>205</v>
      </c>
      <c r="C44">
        <f t="shared" si="0"/>
        <v>1405</v>
      </c>
      <c r="D44">
        <f>VLOOKUP($C44,Profile!$B$5:$K$29,2,TRUE)</f>
        <v>0.78</v>
      </c>
      <c r="E44" s="37">
        <f>VLOOKUP($C44,Profile!$B$5:$K$29,7,TRUE)</f>
        <v>0.71499999999999997</v>
      </c>
      <c r="F44">
        <f t="shared" si="1"/>
        <v>-5.4166666666666712E-3</v>
      </c>
      <c r="G44">
        <v>-2.6797856743132156E-3</v>
      </c>
      <c r="H44" s="37"/>
      <c r="I44">
        <v>0</v>
      </c>
      <c r="J44" s="38">
        <f>-VLOOKUP($C44,Profile!$B$5:$K$29,3,TRUE)*($G44+$I44)</f>
        <v>0.18758499720192509</v>
      </c>
      <c r="K44" s="38"/>
      <c r="O44">
        <v>0</v>
      </c>
      <c r="P44" s="38">
        <f>VLOOKUP($C44,Profile!$B$5:$K$29,5,TRUE)*$O44</f>
        <v>0</v>
      </c>
    </row>
    <row r="45" spans="1:16" x14ac:dyDescent="0.25">
      <c r="A45" s="1">
        <v>0.97916666666746999</v>
      </c>
      <c r="B45">
        <f t="shared" si="2"/>
        <v>210</v>
      </c>
      <c r="C45">
        <f t="shared" si="0"/>
        <v>1410</v>
      </c>
      <c r="D45">
        <f>VLOOKUP($C45,Profile!$B$5:$K$29,2,TRUE)</f>
        <v>0.78</v>
      </c>
      <c r="E45" s="37">
        <f>VLOOKUP($C45,Profile!$B$5:$K$29,7,TRUE)</f>
        <v>0.71499999999999997</v>
      </c>
      <c r="F45">
        <f t="shared" si="1"/>
        <v>-5.4166666666666712E-3</v>
      </c>
      <c r="G45">
        <v>-2.7881657725519747E-3</v>
      </c>
      <c r="H45" s="37"/>
      <c r="I45">
        <v>0</v>
      </c>
      <c r="J45" s="38">
        <f>-VLOOKUP($C45,Profile!$B$5:$K$29,3,TRUE)*($G45+$I45)</f>
        <v>0.19517160407863823</v>
      </c>
      <c r="K45" s="38"/>
      <c r="O45">
        <v>0</v>
      </c>
      <c r="P45" s="38">
        <f>VLOOKUP($C45,Profile!$B$5:$K$29,5,TRUE)*$O45</f>
        <v>0</v>
      </c>
    </row>
    <row r="46" spans="1:16" x14ac:dyDescent="0.25">
      <c r="A46" s="1">
        <v>0.98263888888968998</v>
      </c>
      <c r="B46">
        <f t="shared" si="2"/>
        <v>215</v>
      </c>
      <c r="C46">
        <f t="shared" si="0"/>
        <v>1415</v>
      </c>
      <c r="D46">
        <f>VLOOKUP($C46,Profile!$B$5:$K$29,2,TRUE)</f>
        <v>0.78</v>
      </c>
      <c r="E46" s="37">
        <f>VLOOKUP($C46,Profile!$B$5:$K$29,7,TRUE)</f>
        <v>0.71499999999999997</v>
      </c>
      <c r="F46">
        <f t="shared" si="1"/>
        <v>-5.4166666666666712E-3</v>
      </c>
      <c r="G46">
        <v>-2.8976960404701823E-3</v>
      </c>
      <c r="H46" s="37"/>
      <c r="I46">
        <v>0</v>
      </c>
      <c r="J46" s="38">
        <f>-VLOOKUP($C46,Profile!$B$5:$K$29,3,TRUE)*($G46+$I46)</f>
        <v>0.20283872283291277</v>
      </c>
      <c r="K46" s="38"/>
      <c r="O46">
        <v>0</v>
      </c>
      <c r="P46" s="38">
        <f>VLOOKUP($C46,Profile!$B$5:$K$29,5,TRUE)*$O46</f>
        <v>0</v>
      </c>
    </row>
    <row r="47" spans="1:16" x14ac:dyDescent="0.25">
      <c r="A47" s="1">
        <v>0.98611111111190997</v>
      </c>
      <c r="B47">
        <f t="shared" si="2"/>
        <v>220</v>
      </c>
      <c r="C47">
        <f t="shared" si="0"/>
        <v>1420</v>
      </c>
      <c r="D47">
        <f>VLOOKUP($C47,Profile!$B$5:$K$29,2,TRUE)</f>
        <v>0.78</v>
      </c>
      <c r="E47" s="37">
        <f>VLOOKUP($C47,Profile!$B$5:$K$29,7,TRUE)</f>
        <v>0.71499999999999997</v>
      </c>
      <c r="F47">
        <f t="shared" si="1"/>
        <v>-5.4166666666666712E-3</v>
      </c>
      <c r="G47">
        <v>-3.0076910746453275E-3</v>
      </c>
      <c r="H47" s="37"/>
      <c r="I47">
        <v>0</v>
      </c>
      <c r="J47" s="38">
        <f>-VLOOKUP($C47,Profile!$B$5:$K$29,3,TRUE)*($G47+$I47)</f>
        <v>0.21053837522517294</v>
      </c>
      <c r="K47" s="38"/>
      <c r="O47">
        <v>0</v>
      </c>
      <c r="P47" s="38">
        <f>VLOOKUP($C47,Profile!$B$5:$K$29,5,TRUE)*$O47</f>
        <v>0</v>
      </c>
    </row>
    <row r="48" spans="1:16" x14ac:dyDescent="0.25">
      <c r="A48" s="1">
        <v>0.98958333333412996</v>
      </c>
      <c r="B48">
        <f t="shared" si="2"/>
        <v>225</v>
      </c>
      <c r="C48">
        <f t="shared" si="0"/>
        <v>1425</v>
      </c>
      <c r="D48">
        <f>VLOOKUP($C48,Profile!$B$5:$K$29,2,TRUE)</f>
        <v>0.78</v>
      </c>
      <c r="E48" s="37">
        <f>VLOOKUP($C48,Profile!$B$5:$K$29,7,TRUE)</f>
        <v>0.71499999999999997</v>
      </c>
      <c r="F48">
        <f t="shared" si="1"/>
        <v>-5.4166666666666712E-3</v>
      </c>
      <c r="G48">
        <v>-3.1175394336991151E-3</v>
      </c>
      <c r="H48" s="37"/>
      <c r="I48">
        <v>0</v>
      </c>
      <c r="J48" s="38">
        <f>-VLOOKUP($C48,Profile!$B$5:$K$29,3,TRUE)*($G48+$I48)</f>
        <v>0.21822776035893807</v>
      </c>
      <c r="K48" s="38"/>
      <c r="O48">
        <v>0</v>
      </c>
      <c r="P48" s="38">
        <f>VLOOKUP($C48,Profile!$B$5:$K$29,5,TRUE)*$O48</f>
        <v>0</v>
      </c>
    </row>
    <row r="49" spans="1:16" x14ac:dyDescent="0.25">
      <c r="A49" s="1">
        <v>0.99305555555634994</v>
      </c>
      <c r="B49">
        <f t="shared" si="2"/>
        <v>230</v>
      </c>
      <c r="C49">
        <f t="shared" si="0"/>
        <v>1430</v>
      </c>
      <c r="D49">
        <f>VLOOKUP($C49,Profile!$B$5:$K$29,2,TRUE)</f>
        <v>0.78</v>
      </c>
      <c r="E49" s="37">
        <f>VLOOKUP($C49,Profile!$B$5:$K$29,7,TRUE)</f>
        <v>0.71499999999999997</v>
      </c>
      <c r="F49">
        <f t="shared" si="1"/>
        <v>-5.4166666666666712E-3</v>
      </c>
      <c r="G49">
        <v>-3.2266977838656843E-3</v>
      </c>
      <c r="H49" s="37"/>
      <c r="I49">
        <v>0</v>
      </c>
      <c r="J49" s="38">
        <f>-VLOOKUP($C49,Profile!$B$5:$K$29,3,TRUE)*($G49+$I49)</f>
        <v>0.22586884487059791</v>
      </c>
      <c r="K49" s="38"/>
      <c r="O49">
        <v>0</v>
      </c>
      <c r="P49" s="38">
        <f>VLOOKUP($C49,Profile!$B$5:$K$29,5,TRUE)*$O49</f>
        <v>0</v>
      </c>
    </row>
    <row r="50" spans="1:16" x14ac:dyDescent="0.25">
      <c r="A50" s="1">
        <v>0.99652777777857005</v>
      </c>
      <c r="B50">
        <f t="shared" si="2"/>
        <v>235</v>
      </c>
      <c r="C50">
        <f t="shared" si="0"/>
        <v>1435</v>
      </c>
      <c r="D50">
        <f>VLOOKUP($C50,Profile!$B$5:$K$29,2,TRUE)</f>
        <v>0.78</v>
      </c>
      <c r="E50" s="37">
        <f>VLOOKUP($C50,Profile!$B$5:$K$29,7,TRUE)</f>
        <v>0.71499999999999997</v>
      </c>
      <c r="F50">
        <f t="shared" si="1"/>
        <v>-5.4166666666666712E-3</v>
      </c>
      <c r="G50">
        <v>-3.3346854450547595E-3</v>
      </c>
      <c r="H50" s="37"/>
      <c r="I50">
        <v>0</v>
      </c>
      <c r="J50" s="38">
        <f>-VLOOKUP($C50,Profile!$B$5:$K$29,3,TRUE)*($G50+$I50)</f>
        <v>0.23342798115383318</v>
      </c>
      <c r="K50" s="38"/>
      <c r="O50">
        <v>0</v>
      </c>
      <c r="P50" s="38">
        <f>VLOOKUP($C50,Profile!$B$5:$K$29,5,TRUE)*$O50</f>
        <v>0</v>
      </c>
    </row>
    <row r="51" spans="1:16" x14ac:dyDescent="0.25">
      <c r="A51" s="1">
        <v>7.9003470432326099E-13</v>
      </c>
      <c r="B51">
        <f t="shared" si="2"/>
        <v>240</v>
      </c>
      <c r="C51">
        <f t="shared" si="0"/>
        <v>0</v>
      </c>
      <c r="D51">
        <f>VLOOKUP($C51,Profile!$B$5:$K$29,2,TRUE)</f>
        <v>0.61</v>
      </c>
      <c r="E51" s="37">
        <f>VLOOKUP($C51,Profile!$B$5:$K$29,7,TRUE)</f>
        <v>0.71499999999999997</v>
      </c>
      <c r="F51">
        <f t="shared" si="1"/>
        <v>8.7499999999999991E-3</v>
      </c>
      <c r="G51">
        <v>-3.4410793122939642E-3</v>
      </c>
      <c r="H51" s="37"/>
      <c r="I51">
        <v>0</v>
      </c>
      <c r="J51" s="38">
        <f>-VLOOKUP($C51,Profile!$B$5:$K$29,3,TRUE)*($G51+$I51)</f>
        <v>0.24087555186057749</v>
      </c>
      <c r="K51" s="38"/>
      <c r="O51">
        <v>0</v>
      </c>
      <c r="P51" s="38">
        <f>VLOOKUP($C51,Profile!$B$5:$K$29,5,TRUE)*$O51</f>
        <v>0</v>
      </c>
    </row>
    <row r="52" spans="1:16" x14ac:dyDescent="0.25">
      <c r="A52" s="1">
        <v>3.4722222230101399E-3</v>
      </c>
      <c r="B52">
        <f t="shared" si="2"/>
        <v>245</v>
      </c>
      <c r="C52">
        <f t="shared" si="0"/>
        <v>5</v>
      </c>
      <c r="D52">
        <f>VLOOKUP($C52,Profile!$B$5:$K$29,2,TRUE)</f>
        <v>0.61</v>
      </c>
      <c r="E52" s="37">
        <f>VLOOKUP($C52,Profile!$B$5:$K$29,7,TRUE)</f>
        <v>0.71499999999999997</v>
      </c>
      <c r="F52">
        <f t="shared" si="1"/>
        <v>8.7499999999999991E-3</v>
      </c>
      <c r="G52">
        <v>-3.4746769915939058E-3</v>
      </c>
      <c r="H52" s="37"/>
      <c r="I52">
        <v>0</v>
      </c>
      <c r="J52" s="38">
        <f>-VLOOKUP($C52,Profile!$B$5:$K$29,3,TRUE)*($G52+$I52)</f>
        <v>0.2432273894115734</v>
      </c>
      <c r="K52" s="38"/>
      <c r="O52">
        <v>0</v>
      </c>
      <c r="P52" s="38">
        <f>VLOOKUP($C52,Profile!$B$5:$K$29,5,TRUE)*$O52</f>
        <v>0</v>
      </c>
    </row>
    <row r="53" spans="1:16" x14ac:dyDescent="0.25">
      <c r="A53" s="1">
        <v>6.9444444452300101E-3</v>
      </c>
      <c r="B53">
        <f t="shared" si="2"/>
        <v>250</v>
      </c>
      <c r="C53">
        <f t="shared" si="0"/>
        <v>10</v>
      </c>
      <c r="D53">
        <f>VLOOKUP($C53,Profile!$B$5:$K$29,2,TRUE)</f>
        <v>0.61</v>
      </c>
      <c r="E53" s="37">
        <f>VLOOKUP($C53,Profile!$B$5:$K$29,7,TRUE)</f>
        <v>0.71499999999999997</v>
      </c>
      <c r="F53">
        <f t="shared" si="1"/>
        <v>8.7499999999999991E-3</v>
      </c>
      <c r="G53">
        <v>-3.4436117129739547E-3</v>
      </c>
      <c r="H53" s="37"/>
      <c r="I53">
        <v>0</v>
      </c>
      <c r="J53" s="38">
        <f>-VLOOKUP($C53,Profile!$B$5:$K$29,3,TRUE)*($G53+$I53)</f>
        <v>0.24105281990817684</v>
      </c>
      <c r="K53" s="38"/>
      <c r="O53">
        <v>0</v>
      </c>
      <c r="P53" s="38">
        <f>VLOOKUP($C53,Profile!$B$5:$K$29,5,TRUE)*$O53</f>
        <v>0</v>
      </c>
    </row>
    <row r="54" spans="1:16" x14ac:dyDescent="0.25">
      <c r="A54" s="1">
        <v>1.04166666674501E-2</v>
      </c>
      <c r="B54">
        <f t="shared" si="2"/>
        <v>255</v>
      </c>
      <c r="C54">
        <f t="shared" si="0"/>
        <v>15</v>
      </c>
      <c r="D54">
        <f>VLOOKUP($C54,Profile!$B$5:$K$29,2,TRUE)</f>
        <v>0.61</v>
      </c>
      <c r="E54" s="37">
        <f>VLOOKUP($C54,Profile!$B$5:$K$29,7,TRUE)</f>
        <v>0.71499999999999997</v>
      </c>
      <c r="F54">
        <f t="shared" si="1"/>
        <v>8.7499999999999991E-3</v>
      </c>
      <c r="G54">
        <v>-3.3553599808251004E-3</v>
      </c>
      <c r="H54" s="37"/>
      <c r="I54">
        <v>0</v>
      </c>
      <c r="J54" s="38">
        <f>-VLOOKUP($C54,Profile!$B$5:$K$29,3,TRUE)*($G54+$I54)</f>
        <v>0.23487519865775702</v>
      </c>
      <c r="K54" s="38"/>
      <c r="O54">
        <v>0</v>
      </c>
      <c r="P54" s="38">
        <f>VLOOKUP($C54,Profile!$B$5:$K$29,5,TRUE)*$O54</f>
        <v>0</v>
      </c>
    </row>
    <row r="55" spans="1:16" x14ac:dyDescent="0.25">
      <c r="A55" s="1">
        <v>1.3888888889669999E-2</v>
      </c>
      <c r="B55">
        <f t="shared" si="2"/>
        <v>260</v>
      </c>
      <c r="C55">
        <f t="shared" si="0"/>
        <v>20</v>
      </c>
      <c r="D55">
        <f>VLOOKUP($C55,Profile!$B$5:$K$29,2,TRUE)</f>
        <v>0.61</v>
      </c>
      <c r="E55" s="37">
        <f>VLOOKUP($C55,Profile!$B$5:$K$29,7,TRUE)</f>
        <v>0.71499999999999997</v>
      </c>
      <c r="F55">
        <f t="shared" si="1"/>
        <v>8.7499999999999991E-3</v>
      </c>
      <c r="G55">
        <v>-3.2167870908513165E-3</v>
      </c>
      <c r="H55" s="37"/>
      <c r="I55">
        <v>0</v>
      </c>
      <c r="J55" s="38">
        <f>-VLOOKUP($C55,Profile!$B$5:$K$29,3,TRUE)*($G55+$I55)</f>
        <v>0.22517509635959215</v>
      </c>
      <c r="K55" s="38"/>
      <c r="O55">
        <v>0</v>
      </c>
      <c r="P55" s="38">
        <f>VLOOKUP($C55,Profile!$B$5:$K$29,5,TRUE)*$O55</f>
        <v>0</v>
      </c>
    </row>
    <row r="56" spans="1:16" x14ac:dyDescent="0.25">
      <c r="A56" s="1">
        <v>1.73611111118901E-2</v>
      </c>
      <c r="B56">
        <f t="shared" si="2"/>
        <v>265</v>
      </c>
      <c r="C56">
        <f t="shared" si="0"/>
        <v>25</v>
      </c>
      <c r="D56">
        <f>VLOOKUP($C56,Profile!$B$5:$K$29,2,TRUE)</f>
        <v>0.61</v>
      </c>
      <c r="E56" s="37">
        <f>VLOOKUP($C56,Profile!$B$5:$K$29,7,TRUE)</f>
        <v>0.71499999999999997</v>
      </c>
      <c r="F56">
        <f t="shared" si="1"/>
        <v>8.7499999999999991E-3</v>
      </c>
      <c r="G56">
        <v>-3.0341897659736986E-3</v>
      </c>
      <c r="H56" s="37"/>
      <c r="I56">
        <v>0</v>
      </c>
      <c r="J56" s="38">
        <f>-VLOOKUP($C56,Profile!$B$5:$K$29,3,TRUE)*($G56+$I56)</f>
        <v>0.2123932836181589</v>
      </c>
      <c r="K56" s="38"/>
      <c r="O56">
        <v>0</v>
      </c>
      <c r="P56" s="38">
        <f>VLOOKUP($C56,Profile!$B$5:$K$29,5,TRUE)*$O56</f>
        <v>0</v>
      </c>
    </row>
    <row r="57" spans="1:16" x14ac:dyDescent="0.25">
      <c r="A57" s="1">
        <v>2.0833333334109999E-2</v>
      </c>
      <c r="B57">
        <f t="shared" si="2"/>
        <v>270</v>
      </c>
      <c r="C57">
        <f t="shared" si="0"/>
        <v>30</v>
      </c>
      <c r="D57">
        <f>VLOOKUP($C57,Profile!$B$5:$K$29,2,TRUE)</f>
        <v>0.61</v>
      </c>
      <c r="E57" s="37">
        <f>VLOOKUP($C57,Profile!$B$5:$K$29,7,TRUE)</f>
        <v>0.71499999999999997</v>
      </c>
      <c r="F57">
        <f t="shared" si="1"/>
        <v>8.7499999999999991E-3</v>
      </c>
      <c r="G57">
        <v>-2.8133360828272503E-3</v>
      </c>
      <c r="H57" s="37"/>
      <c r="I57">
        <v>0</v>
      </c>
      <c r="J57" s="38">
        <f>-VLOOKUP($C57,Profile!$B$5:$K$29,3,TRUE)*($G57+$I57)</f>
        <v>0.19693352579790752</v>
      </c>
      <c r="K57" s="38"/>
      <c r="O57">
        <v>0</v>
      </c>
      <c r="P57" s="38">
        <f>VLOOKUP($C57,Profile!$B$5:$K$29,5,TRUE)*$O57</f>
        <v>0</v>
      </c>
    </row>
    <row r="58" spans="1:16" x14ac:dyDescent="0.25">
      <c r="A58" s="1">
        <v>2.43055555563301E-2</v>
      </c>
      <c r="B58">
        <f t="shared" si="2"/>
        <v>275</v>
      </c>
      <c r="C58">
        <f t="shared" si="0"/>
        <v>35</v>
      </c>
      <c r="D58">
        <f>VLOOKUP($C58,Profile!$B$5:$K$29,2,TRUE)</f>
        <v>0.61</v>
      </c>
      <c r="E58" s="37">
        <f>VLOOKUP($C58,Profile!$B$5:$K$29,7,TRUE)</f>
        <v>0.71499999999999997</v>
      </c>
      <c r="F58">
        <f t="shared" si="1"/>
        <v>8.7499999999999991E-3</v>
      </c>
      <c r="G58">
        <v>-2.5595028506914053E-3</v>
      </c>
      <c r="H58" s="37"/>
      <c r="I58">
        <v>0</v>
      </c>
      <c r="J58" s="38">
        <f>-VLOOKUP($C58,Profile!$B$5:$K$29,3,TRUE)*($G58+$I58)</f>
        <v>0.17916519954839838</v>
      </c>
      <c r="K58" s="38"/>
      <c r="O58">
        <v>0</v>
      </c>
      <c r="P58" s="38">
        <f>VLOOKUP($C58,Profile!$B$5:$K$29,5,TRUE)*$O58</f>
        <v>0</v>
      </c>
    </row>
    <row r="59" spans="1:16" x14ac:dyDescent="0.25">
      <c r="A59" s="1">
        <v>2.77777777785502E-2</v>
      </c>
      <c r="B59">
        <f t="shared" si="2"/>
        <v>280</v>
      </c>
      <c r="C59">
        <f t="shared" si="0"/>
        <v>40</v>
      </c>
      <c r="D59">
        <f>VLOOKUP($C59,Profile!$B$5:$K$29,2,TRUE)</f>
        <v>0.61</v>
      </c>
      <c r="E59" s="37">
        <f>VLOOKUP($C59,Profile!$B$5:$K$29,7,TRUE)</f>
        <v>0.71499999999999997</v>
      </c>
      <c r="F59">
        <f t="shared" si="1"/>
        <v>8.7499999999999991E-3</v>
      </c>
      <c r="G59">
        <v>-2.2775105954468472E-3</v>
      </c>
      <c r="H59" s="37"/>
      <c r="I59">
        <v>0</v>
      </c>
      <c r="J59" s="38">
        <f>-VLOOKUP($C59,Profile!$B$5:$K$29,3,TRUE)*($G59+$I59)</f>
        <v>0.15942574168127929</v>
      </c>
      <c r="K59" s="38"/>
      <c r="O59">
        <v>0</v>
      </c>
      <c r="P59" s="38">
        <f>VLOOKUP($C59,Profile!$B$5:$K$29,5,TRUE)*$O59</f>
        <v>0</v>
      </c>
    </row>
    <row r="60" spans="1:16" x14ac:dyDescent="0.25">
      <c r="A60" s="1">
        <v>3.1250000000770099E-2</v>
      </c>
      <c r="B60">
        <f t="shared" si="2"/>
        <v>285</v>
      </c>
      <c r="C60">
        <f t="shared" si="0"/>
        <v>45</v>
      </c>
      <c r="D60">
        <f>VLOOKUP($C60,Profile!$B$5:$K$29,2,TRUE)</f>
        <v>0.61</v>
      </c>
      <c r="E60" s="37">
        <f>VLOOKUP($C60,Profile!$B$5:$K$29,7,TRUE)</f>
        <v>0.71499999999999997</v>
      </c>
      <c r="F60">
        <f t="shared" si="1"/>
        <v>8.7499999999999991E-3</v>
      </c>
      <c r="G60">
        <v>-1.9717562924138547E-3</v>
      </c>
      <c r="H60" s="37"/>
      <c r="I60">
        <v>0</v>
      </c>
      <c r="J60" s="38">
        <f>-VLOOKUP($C60,Profile!$B$5:$K$29,3,TRUE)*($G60+$I60)</f>
        <v>0.13802294046896982</v>
      </c>
      <c r="K60" s="38"/>
      <c r="O60">
        <v>0</v>
      </c>
      <c r="P60" s="38">
        <f>VLOOKUP($C60,Profile!$B$5:$K$29,5,TRUE)*$O60</f>
        <v>0</v>
      </c>
    </row>
    <row r="61" spans="1:16" x14ac:dyDescent="0.25">
      <c r="A61" s="1">
        <v>3.47222222229902E-2</v>
      </c>
      <c r="B61">
        <f t="shared" si="2"/>
        <v>290</v>
      </c>
      <c r="C61">
        <f t="shared" si="0"/>
        <v>50</v>
      </c>
      <c r="D61">
        <f>VLOOKUP($C61,Profile!$B$5:$K$29,2,TRUE)</f>
        <v>0.61</v>
      </c>
      <c r="E61" s="37">
        <f>VLOOKUP($C61,Profile!$B$5:$K$29,7,TRUE)</f>
        <v>0.71499999999999997</v>
      </c>
      <c r="F61">
        <f t="shared" si="1"/>
        <v>8.7499999999999991E-3</v>
      </c>
      <c r="G61">
        <v>-1.6462439836737266E-3</v>
      </c>
      <c r="H61" s="37"/>
      <c r="I61">
        <v>0</v>
      </c>
      <c r="J61" s="38">
        <f>-VLOOKUP($C61,Profile!$B$5:$K$29,3,TRUE)*($G61+$I61)</f>
        <v>0.11523707885716086</v>
      </c>
      <c r="K61" s="38"/>
      <c r="O61">
        <v>0</v>
      </c>
      <c r="P61" s="38">
        <f>VLOOKUP($C61,Profile!$B$5:$K$29,5,TRUE)*$O61</f>
        <v>0</v>
      </c>
    </row>
    <row r="62" spans="1:16" x14ac:dyDescent="0.25">
      <c r="A62" s="1">
        <v>3.8194444445210002E-2</v>
      </c>
      <c r="B62">
        <f t="shared" si="2"/>
        <v>295</v>
      </c>
      <c r="C62">
        <f t="shared" si="0"/>
        <v>55</v>
      </c>
      <c r="D62">
        <f>VLOOKUP($C62,Profile!$B$5:$K$29,2,TRUE)</f>
        <v>0.61</v>
      </c>
      <c r="E62" s="37">
        <f>VLOOKUP($C62,Profile!$B$5:$K$29,7,TRUE)</f>
        <v>0.71499999999999997</v>
      </c>
      <c r="F62">
        <f t="shared" si="1"/>
        <v>8.7499999999999991E-3</v>
      </c>
      <c r="G62">
        <v>-1.3046134076787645E-3</v>
      </c>
      <c r="H62" s="37"/>
      <c r="I62">
        <v>0</v>
      </c>
      <c r="J62" s="38">
        <f>-VLOOKUP($C62,Profile!$B$5:$K$29,3,TRUE)*($G62+$I62)</f>
        <v>9.1322938537513512E-2</v>
      </c>
      <c r="K62" s="38"/>
      <c r="O62">
        <v>0</v>
      </c>
      <c r="P62" s="38">
        <f>VLOOKUP($C62,Profile!$B$5:$K$29,5,TRUE)*$O62</f>
        <v>0</v>
      </c>
    </row>
    <row r="63" spans="1:16" x14ac:dyDescent="0.25">
      <c r="A63" s="1">
        <v>4.1666666667430102E-2</v>
      </c>
      <c r="B63">
        <f t="shared" si="2"/>
        <v>300</v>
      </c>
      <c r="C63">
        <f t="shared" si="0"/>
        <v>60</v>
      </c>
      <c r="D63">
        <f>VLOOKUP($C63,Profile!$B$5:$K$29,2,TRUE)</f>
        <v>0.57999999999999996</v>
      </c>
      <c r="E63" s="37">
        <f>VLOOKUP($C63,Profile!$B$5:$K$29,7,TRUE)</f>
        <v>0.71499999999999997</v>
      </c>
      <c r="F63">
        <f t="shared" si="1"/>
        <v>1.1250000000000001E-2</v>
      </c>
      <c r="G63">
        <v>-9.5016676159309296E-4</v>
      </c>
      <c r="H63" s="37"/>
      <c r="I63">
        <v>0</v>
      </c>
      <c r="J63" s="38">
        <f>-VLOOKUP($C63,Profile!$B$5:$K$29,3,TRUE)*($G63+$I63)</f>
        <v>6.65116733115165E-2</v>
      </c>
      <c r="K63" s="38"/>
      <c r="O63">
        <v>0</v>
      </c>
      <c r="P63" s="38">
        <f>VLOOKUP($C63,Profile!$B$5:$K$29,5,TRUE)*$O63</f>
        <v>0</v>
      </c>
    </row>
    <row r="64" spans="1:16" x14ac:dyDescent="0.25">
      <c r="A64" s="1">
        <v>4.5138888889650002E-2</v>
      </c>
      <c r="B64">
        <f t="shared" si="2"/>
        <v>305</v>
      </c>
      <c r="C64">
        <f t="shared" si="0"/>
        <v>65</v>
      </c>
      <c r="D64">
        <f>VLOOKUP($C64,Profile!$B$5:$K$29,2,TRUE)</f>
        <v>0.57999999999999996</v>
      </c>
      <c r="E64" s="37">
        <f>VLOOKUP($C64,Profile!$B$5:$K$29,7,TRUE)</f>
        <v>0.71499999999999997</v>
      </c>
      <c r="F64">
        <f t="shared" si="1"/>
        <v>1.1250000000000001E-2</v>
      </c>
      <c r="G64">
        <v>-5.7414222934486475E-4</v>
      </c>
      <c r="H64" s="37"/>
      <c r="I64">
        <v>0</v>
      </c>
      <c r="J64" s="38">
        <f>-VLOOKUP($C64,Profile!$B$5:$K$29,3,TRUE)*($G64+$I64)</f>
        <v>4.0189956054140531E-2</v>
      </c>
      <c r="K64" s="38"/>
      <c r="O64">
        <v>0</v>
      </c>
      <c r="P64" s="38">
        <f>VLOOKUP($C64,Profile!$B$5:$K$29,5,TRUE)*$O64</f>
        <v>0</v>
      </c>
    </row>
    <row r="65" spans="1:16" x14ac:dyDescent="0.25">
      <c r="A65" s="1">
        <v>4.8611111111870102E-2</v>
      </c>
      <c r="B65">
        <f t="shared" si="2"/>
        <v>310</v>
      </c>
      <c r="C65">
        <f t="shared" si="0"/>
        <v>70</v>
      </c>
      <c r="D65">
        <f>VLOOKUP($C65,Profile!$B$5:$K$29,2,TRUE)</f>
        <v>0.57999999999999996</v>
      </c>
      <c r="E65" s="37">
        <f>VLOOKUP($C65,Profile!$B$5:$K$29,7,TRUE)</f>
        <v>0.71499999999999997</v>
      </c>
      <c r="F65">
        <f t="shared" si="1"/>
        <v>1.1250000000000001E-2</v>
      </c>
      <c r="G65">
        <v>-1.8069077778676518E-4</v>
      </c>
      <c r="H65" s="37"/>
      <c r="I65">
        <v>0</v>
      </c>
      <c r="J65" s="38">
        <f>-VLOOKUP($C65,Profile!$B$5:$K$29,3,TRUE)*($G65+$I65)</f>
        <v>1.2648354445073562E-2</v>
      </c>
      <c r="K65" s="38"/>
      <c r="O65">
        <v>0</v>
      </c>
      <c r="P65" s="38">
        <f>VLOOKUP($C65,Profile!$B$5:$K$29,5,TRUE)*$O65</f>
        <v>0</v>
      </c>
    </row>
    <row r="66" spans="1:16" x14ac:dyDescent="0.25">
      <c r="A66" s="1">
        <v>5.2083333334090001E-2</v>
      </c>
      <c r="B66">
        <f t="shared" si="2"/>
        <v>315</v>
      </c>
      <c r="C66">
        <f t="shared" si="0"/>
        <v>75</v>
      </c>
      <c r="D66">
        <f>VLOOKUP($C66,Profile!$B$5:$K$29,2,TRUE)</f>
        <v>0.57999999999999996</v>
      </c>
      <c r="E66" s="37">
        <f>VLOOKUP($C66,Profile!$B$5:$K$29,7,TRUE)</f>
        <v>0.71499999999999997</v>
      </c>
      <c r="F66">
        <f t="shared" si="1"/>
        <v>1.1250000000000001E-2</v>
      </c>
      <c r="G66">
        <v>2.2642652131798504E-4</v>
      </c>
      <c r="H66" s="37"/>
      <c r="I66">
        <v>0</v>
      </c>
      <c r="J66" s="38">
        <f>-VLOOKUP($C66,Profile!$B$5:$K$29,3,TRUE)*($G66+$I66)</f>
        <v>-1.5849856492258951E-2</v>
      </c>
      <c r="K66" s="38"/>
      <c r="O66">
        <v>0</v>
      </c>
      <c r="P66" s="38">
        <f>VLOOKUP($C66,Profile!$B$5:$K$29,5,TRUE)*$O66</f>
        <v>0</v>
      </c>
    </row>
    <row r="67" spans="1:16" x14ac:dyDescent="0.25">
      <c r="A67" s="1">
        <v>5.5555555556310102E-2</v>
      </c>
      <c r="B67">
        <f t="shared" si="2"/>
        <v>320</v>
      </c>
      <c r="C67">
        <f t="shared" ref="C67:C130" si="3">MOD(INT(A67/Minute),1440)</f>
        <v>80</v>
      </c>
      <c r="D67">
        <f>VLOOKUP($C67,Profile!$B$5:$K$29,2,TRUE)</f>
        <v>0.57999999999999996</v>
      </c>
      <c r="E67" s="37">
        <f>VLOOKUP($C67,Profile!$B$5:$K$29,7,TRUE)</f>
        <v>0.71499999999999997</v>
      </c>
      <c r="F67">
        <f t="shared" si="1"/>
        <v>1.1250000000000001E-2</v>
      </c>
      <c r="G67">
        <v>6.438094038576555E-4</v>
      </c>
      <c r="H67" s="37"/>
      <c r="I67">
        <v>0</v>
      </c>
      <c r="J67" s="38">
        <f>-VLOOKUP($C67,Profile!$B$5:$K$29,3,TRUE)*($G67+$I67)</f>
        <v>-4.5066658270035885E-2</v>
      </c>
      <c r="K67" s="38"/>
      <c r="O67">
        <v>0</v>
      </c>
      <c r="P67" s="38">
        <f>VLOOKUP($C67,Profile!$B$5:$K$29,5,TRUE)*$O67</f>
        <v>0</v>
      </c>
    </row>
    <row r="68" spans="1:16" x14ac:dyDescent="0.25">
      <c r="A68" s="1">
        <v>5.9027777778530001E-2</v>
      </c>
      <c r="B68">
        <f t="shared" si="2"/>
        <v>325</v>
      </c>
      <c r="C68">
        <f t="shared" si="3"/>
        <v>85</v>
      </c>
      <c r="D68">
        <f>VLOOKUP($C68,Profile!$B$5:$K$29,2,TRUE)</f>
        <v>0.57999999999999996</v>
      </c>
      <c r="E68" s="37">
        <f>VLOOKUP($C68,Profile!$B$5:$K$29,7,TRUE)</f>
        <v>0.71499999999999997</v>
      </c>
      <c r="F68">
        <f t="shared" ref="F68:F131" si="4">+(E68-D68)/12</f>
        <v>1.1250000000000001E-2</v>
      </c>
      <c r="G68">
        <v>1.0683912499247601E-3</v>
      </c>
      <c r="H68" s="37"/>
      <c r="I68">
        <v>0</v>
      </c>
      <c r="J68" s="38">
        <f>-VLOOKUP($C68,Profile!$B$5:$K$29,3,TRUE)*($G68+$I68)</f>
        <v>-7.478738749473321E-2</v>
      </c>
      <c r="K68" s="38"/>
      <c r="O68">
        <v>0</v>
      </c>
      <c r="P68" s="38">
        <f>VLOOKUP($C68,Profile!$B$5:$K$29,5,TRUE)*$O68</f>
        <v>0</v>
      </c>
    </row>
    <row r="69" spans="1:16" x14ac:dyDescent="0.25">
      <c r="A69" s="1">
        <v>6.2500000000750094E-2</v>
      </c>
      <c r="B69">
        <f t="shared" ref="B69:B132" si="5">+B68+5</f>
        <v>330</v>
      </c>
      <c r="C69">
        <f t="shared" si="3"/>
        <v>90</v>
      </c>
      <c r="D69">
        <f>VLOOKUP($C69,Profile!$B$5:$K$29,2,TRUE)</f>
        <v>0.57999999999999996</v>
      </c>
      <c r="E69" s="37">
        <f>VLOOKUP($C69,Profile!$B$5:$K$29,7,TRUE)</f>
        <v>0.71499999999999997</v>
      </c>
      <c r="F69">
        <f t="shared" si="4"/>
        <v>1.1250000000000001E-2</v>
      </c>
      <c r="G69">
        <v>1.497413726318808E-3</v>
      </c>
      <c r="H69" s="37"/>
      <c r="I69">
        <v>0</v>
      </c>
      <c r="J69" s="38">
        <f>-VLOOKUP($C69,Profile!$B$5:$K$29,3,TRUE)*($G69+$I69)</f>
        <v>-0.10481896084231657</v>
      </c>
      <c r="K69" s="38"/>
      <c r="O69">
        <v>0</v>
      </c>
      <c r="P69" s="38">
        <f>VLOOKUP($C69,Profile!$B$5:$K$29,5,TRUE)*$O69</f>
        <v>0</v>
      </c>
    </row>
    <row r="70" spans="1:16" x14ac:dyDescent="0.25">
      <c r="A70" s="1">
        <v>6.5972222222970195E-2</v>
      </c>
      <c r="B70">
        <f t="shared" si="5"/>
        <v>335</v>
      </c>
      <c r="C70">
        <f t="shared" si="3"/>
        <v>95</v>
      </c>
      <c r="D70">
        <f>VLOOKUP($C70,Profile!$B$5:$K$29,2,TRUE)</f>
        <v>0.57999999999999996</v>
      </c>
      <c r="E70" s="37">
        <f>VLOOKUP($C70,Profile!$B$5:$K$29,7,TRUE)</f>
        <v>0.71499999999999997</v>
      </c>
      <c r="F70">
        <f t="shared" si="4"/>
        <v>1.1250000000000001E-2</v>
      </c>
      <c r="G70">
        <v>1.9284031238344019E-3</v>
      </c>
      <c r="H70" s="37"/>
      <c r="I70">
        <v>0</v>
      </c>
      <c r="J70" s="38">
        <f>-VLOOKUP($C70,Profile!$B$5:$K$29,3,TRUE)*($G70+$I70)</f>
        <v>-0.13498821866840813</v>
      </c>
      <c r="K70" s="38"/>
      <c r="O70">
        <v>0</v>
      </c>
      <c r="P70" s="38">
        <f>VLOOKUP($C70,Profile!$B$5:$K$29,5,TRUE)*$O70</f>
        <v>0</v>
      </c>
    </row>
    <row r="71" spans="1:16" x14ac:dyDescent="0.25">
      <c r="A71" s="1">
        <v>6.9444444445190004E-2</v>
      </c>
      <c r="B71">
        <f t="shared" si="5"/>
        <v>340</v>
      </c>
      <c r="C71">
        <f t="shared" si="3"/>
        <v>100</v>
      </c>
      <c r="D71">
        <f>VLOOKUP($C71,Profile!$B$5:$K$29,2,TRUE)</f>
        <v>0.57999999999999996</v>
      </c>
      <c r="E71" s="37">
        <f>VLOOKUP($C71,Profile!$B$5:$K$29,7,TRUE)</f>
        <v>0.71499999999999997</v>
      </c>
      <c r="F71">
        <f t="shared" si="4"/>
        <v>1.1250000000000001E-2</v>
      </c>
      <c r="G71">
        <v>2.3591482846605405E-3</v>
      </c>
      <c r="H71" s="37"/>
      <c r="I71">
        <v>0</v>
      </c>
      <c r="J71" s="38">
        <f>-VLOOKUP($C71,Profile!$B$5:$K$29,3,TRUE)*($G71+$I71)</f>
        <v>-0.16514037992623784</v>
      </c>
      <c r="K71" s="38"/>
      <c r="O71">
        <v>0</v>
      </c>
      <c r="P71" s="38">
        <f>VLOOKUP($C71,Profile!$B$5:$K$29,5,TRUE)*$O71</f>
        <v>0</v>
      </c>
    </row>
    <row r="72" spans="1:16" x14ac:dyDescent="0.25">
      <c r="A72" s="1">
        <v>7.2916666667410104E-2</v>
      </c>
      <c r="B72">
        <f t="shared" si="5"/>
        <v>345</v>
      </c>
      <c r="C72">
        <f t="shared" si="3"/>
        <v>105</v>
      </c>
      <c r="D72">
        <f>VLOOKUP($C72,Profile!$B$5:$K$29,2,TRUE)</f>
        <v>0.57999999999999996</v>
      </c>
      <c r="E72" s="37">
        <f>VLOOKUP($C72,Profile!$B$5:$K$29,7,TRUE)</f>
        <v>0.71499999999999997</v>
      </c>
      <c r="F72">
        <f t="shared" si="4"/>
        <v>1.1250000000000001E-2</v>
      </c>
      <c r="G72">
        <v>2.7876800213428627E-3</v>
      </c>
      <c r="H72" s="37"/>
      <c r="I72">
        <v>0</v>
      </c>
      <c r="J72" s="38">
        <f>-VLOOKUP($C72,Profile!$B$5:$K$29,3,TRUE)*($G72+$I72)</f>
        <v>-0.19513760149400039</v>
      </c>
      <c r="K72" s="38"/>
      <c r="O72">
        <v>0</v>
      </c>
      <c r="P72" s="38">
        <f>VLOOKUP($C72,Profile!$B$5:$K$29,5,TRUE)*$O72</f>
        <v>0</v>
      </c>
    </row>
    <row r="73" spans="1:16" x14ac:dyDescent="0.25">
      <c r="A73" s="1">
        <v>7.6388888889629997E-2</v>
      </c>
      <c r="B73">
        <f t="shared" si="5"/>
        <v>350</v>
      </c>
      <c r="C73">
        <f t="shared" si="3"/>
        <v>110</v>
      </c>
      <c r="D73">
        <f>VLOOKUP($C73,Profile!$B$5:$K$29,2,TRUE)</f>
        <v>0.57999999999999996</v>
      </c>
      <c r="E73" s="37">
        <f>VLOOKUP($C73,Profile!$B$5:$K$29,7,TRUE)</f>
        <v>0.71499999999999997</v>
      </c>
      <c r="F73">
        <f t="shared" si="4"/>
        <v>1.1250000000000001E-2</v>
      </c>
      <c r="G73">
        <v>3.2122519345417831E-3</v>
      </c>
      <c r="H73" s="37"/>
      <c r="I73">
        <v>0</v>
      </c>
      <c r="J73" s="38">
        <f>-VLOOKUP($C73,Profile!$B$5:$K$29,3,TRUE)*($G73+$I73)</f>
        <v>-0.22485763541792481</v>
      </c>
      <c r="K73" s="38"/>
      <c r="O73">
        <v>0</v>
      </c>
      <c r="P73" s="38">
        <f>VLOOKUP($C73,Profile!$B$5:$K$29,5,TRUE)*$O73</f>
        <v>0</v>
      </c>
    </row>
    <row r="74" spans="1:16" x14ac:dyDescent="0.25">
      <c r="A74" s="1">
        <v>7.9861111111850097E-2</v>
      </c>
      <c r="B74">
        <f t="shared" si="5"/>
        <v>355</v>
      </c>
      <c r="C74">
        <f t="shared" si="3"/>
        <v>115</v>
      </c>
      <c r="D74">
        <f>VLOOKUP($C74,Profile!$B$5:$K$29,2,TRUE)</f>
        <v>0.57999999999999996</v>
      </c>
      <c r="E74" s="37">
        <f>VLOOKUP($C74,Profile!$B$5:$K$29,7,TRUE)</f>
        <v>0.71499999999999997</v>
      </c>
      <c r="F74">
        <f t="shared" si="4"/>
        <v>1.1250000000000001E-2</v>
      </c>
      <c r="G74">
        <v>3.6313225422747795E-3</v>
      </c>
      <c r="H74" s="37"/>
      <c r="I74">
        <v>0</v>
      </c>
      <c r="J74" s="38">
        <f>-VLOOKUP($C74,Profile!$B$5:$K$29,3,TRUE)*($G74+$I74)</f>
        <v>-0.25419257795923456</v>
      </c>
      <c r="K74" s="38"/>
      <c r="O74">
        <v>0</v>
      </c>
      <c r="P74" s="38">
        <f>VLOOKUP($C74,Profile!$B$5:$K$29,5,TRUE)*$O74</f>
        <v>0</v>
      </c>
    </row>
    <row r="75" spans="1:16" x14ac:dyDescent="0.25">
      <c r="A75" s="1">
        <v>8.3333333334070003E-2</v>
      </c>
      <c r="B75">
        <f t="shared" si="5"/>
        <v>360</v>
      </c>
      <c r="C75">
        <f t="shared" si="3"/>
        <v>120</v>
      </c>
      <c r="D75">
        <f>VLOOKUP($C75,Profile!$B$5:$K$29,2,TRUE)</f>
        <v>0.68</v>
      </c>
      <c r="E75" s="37">
        <f>VLOOKUP($C75,Profile!$B$5:$K$29,7,TRUE)</f>
        <v>0.71499999999999997</v>
      </c>
      <c r="F75">
        <f t="shared" si="4"/>
        <v>2.9166666666666599E-3</v>
      </c>
      <c r="G75">
        <v>4.0435386384783589E-3</v>
      </c>
      <c r="H75" s="37"/>
      <c r="I75">
        <v>0</v>
      </c>
      <c r="J75" s="38">
        <f>-VLOOKUP($C75,Profile!$B$5:$K$29,3,TRUE)*($G75+$I75)</f>
        <v>-0.28304770469348511</v>
      </c>
      <c r="K75" s="38"/>
      <c r="O75">
        <v>0</v>
      </c>
      <c r="P75" s="38">
        <f>VLOOKUP($C75,Profile!$B$5:$K$29,5,TRUE)*$O75</f>
        <v>0</v>
      </c>
    </row>
    <row r="76" spans="1:16" x14ac:dyDescent="0.25">
      <c r="A76" s="1">
        <v>8.6805555556290104E-2</v>
      </c>
      <c r="B76">
        <f t="shared" si="5"/>
        <v>365</v>
      </c>
      <c r="C76">
        <f t="shared" si="3"/>
        <v>125</v>
      </c>
      <c r="D76">
        <f>VLOOKUP($C76,Profile!$B$5:$K$29,2,TRUE)</f>
        <v>0.68</v>
      </c>
      <c r="E76" s="37">
        <f>VLOOKUP($C76,Profile!$B$5:$K$29,7,TRUE)</f>
        <v>0.71499999999999997</v>
      </c>
      <c r="F76">
        <f t="shared" si="4"/>
        <v>2.9166666666666599E-3</v>
      </c>
      <c r="G76">
        <v>4.4060538404480532E-3</v>
      </c>
      <c r="H76" s="37"/>
      <c r="I76">
        <v>0</v>
      </c>
      <c r="J76" s="38">
        <f>-VLOOKUP($C76,Profile!$B$5:$K$29,3,TRUE)*($G76+$I76)</f>
        <v>-0.30842376883136374</v>
      </c>
      <c r="K76" s="38"/>
      <c r="O76">
        <v>0</v>
      </c>
      <c r="P76" s="38">
        <f>VLOOKUP($C76,Profile!$B$5:$K$29,5,TRUE)*$O76</f>
        <v>0</v>
      </c>
    </row>
    <row r="77" spans="1:16" x14ac:dyDescent="0.25">
      <c r="A77" s="1">
        <v>9.0277777778509996E-2</v>
      </c>
      <c r="B77">
        <f t="shared" si="5"/>
        <v>370</v>
      </c>
      <c r="C77">
        <f t="shared" si="3"/>
        <v>130</v>
      </c>
      <c r="D77">
        <f>VLOOKUP($C77,Profile!$B$5:$K$29,2,TRUE)</f>
        <v>0.68</v>
      </c>
      <c r="E77" s="37">
        <f>VLOOKUP($C77,Profile!$B$5:$K$29,7,TRUE)</f>
        <v>0.71499999999999997</v>
      </c>
      <c r="F77">
        <f t="shared" si="4"/>
        <v>2.9166666666666599E-3</v>
      </c>
      <c r="G77">
        <v>4.7228196553501991E-3</v>
      </c>
      <c r="H77" s="37"/>
      <c r="I77">
        <v>0</v>
      </c>
      <c r="J77" s="38">
        <f>-VLOOKUP($C77,Profile!$B$5:$K$29,3,TRUE)*($G77+$I77)</f>
        <v>-0.33059737587451393</v>
      </c>
      <c r="K77" s="38"/>
      <c r="O77">
        <v>0</v>
      </c>
      <c r="P77" s="38">
        <f>VLOOKUP($C77,Profile!$B$5:$K$29,5,TRUE)*$O77</f>
        <v>0</v>
      </c>
    </row>
    <row r="78" spans="1:16" x14ac:dyDescent="0.25">
      <c r="A78" s="1">
        <v>9.3750000000730097E-2</v>
      </c>
      <c r="B78">
        <f t="shared" si="5"/>
        <v>375</v>
      </c>
      <c r="C78">
        <f t="shared" si="3"/>
        <v>135</v>
      </c>
      <c r="D78">
        <f>VLOOKUP($C78,Profile!$B$5:$K$29,2,TRUE)</f>
        <v>0.68</v>
      </c>
      <c r="E78" s="37">
        <f>VLOOKUP($C78,Profile!$B$5:$K$29,7,TRUE)</f>
        <v>0.71499999999999997</v>
      </c>
      <c r="F78">
        <f t="shared" si="4"/>
        <v>2.9166666666666599E-3</v>
      </c>
      <c r="G78">
        <v>4.9975201627414541E-3</v>
      </c>
      <c r="H78" s="37"/>
      <c r="I78">
        <v>0</v>
      </c>
      <c r="J78" s="38">
        <f>-VLOOKUP($C78,Profile!$B$5:$K$29,3,TRUE)*($G78+$I78)</f>
        <v>-0.34982641139190179</v>
      </c>
      <c r="K78" s="38"/>
      <c r="O78">
        <v>0</v>
      </c>
      <c r="P78" s="38">
        <f>VLOOKUP($C78,Profile!$B$5:$K$29,5,TRUE)*$O78</f>
        <v>0</v>
      </c>
    </row>
    <row r="79" spans="1:16" x14ac:dyDescent="0.25">
      <c r="A79" s="1">
        <v>9.7222222222950003E-2</v>
      </c>
      <c r="B79">
        <f t="shared" si="5"/>
        <v>380</v>
      </c>
      <c r="C79">
        <f t="shared" si="3"/>
        <v>140</v>
      </c>
      <c r="D79">
        <f>VLOOKUP($C79,Profile!$B$5:$K$29,2,TRUE)</f>
        <v>0.68</v>
      </c>
      <c r="E79" s="37">
        <f>VLOOKUP($C79,Profile!$B$5:$K$29,7,TRUE)</f>
        <v>0.71499999999999997</v>
      </c>
      <c r="F79">
        <f t="shared" si="4"/>
        <v>2.9166666666666599E-3</v>
      </c>
      <c r="G79">
        <v>5.2335885716471705E-3</v>
      </c>
      <c r="H79" s="37"/>
      <c r="I79">
        <v>0</v>
      </c>
      <c r="J79" s="38">
        <f>-VLOOKUP($C79,Profile!$B$5:$K$29,3,TRUE)*($G79+$I79)</f>
        <v>-0.36635120001530191</v>
      </c>
      <c r="K79" s="38"/>
      <c r="O79">
        <v>0</v>
      </c>
      <c r="P79" s="38">
        <f>VLOOKUP($C79,Profile!$B$5:$K$29,5,TRUE)*$O79</f>
        <v>0</v>
      </c>
    </row>
    <row r="80" spans="1:16" x14ac:dyDescent="0.25">
      <c r="A80" s="1">
        <v>0.10069444444517001</v>
      </c>
      <c r="B80">
        <f t="shared" si="5"/>
        <v>385</v>
      </c>
      <c r="C80">
        <f t="shared" si="3"/>
        <v>145</v>
      </c>
      <c r="D80">
        <f>VLOOKUP($C80,Profile!$B$5:$K$29,2,TRUE)</f>
        <v>0.68</v>
      </c>
      <c r="E80" s="37">
        <f>VLOOKUP($C80,Profile!$B$5:$K$29,7,TRUE)</f>
        <v>0.71499999999999997</v>
      </c>
      <c r="F80">
        <f t="shared" si="4"/>
        <v>2.9166666666666599E-3</v>
      </c>
      <c r="G80">
        <v>5.434222809867266E-3</v>
      </c>
      <c r="H80" s="37"/>
      <c r="I80">
        <v>0</v>
      </c>
      <c r="J80" s="38">
        <f>-VLOOKUP($C80,Profile!$B$5:$K$29,3,TRUE)*($G80+$I80)</f>
        <v>-0.3803955966907086</v>
      </c>
      <c r="K80" s="38"/>
      <c r="O80">
        <v>0</v>
      </c>
      <c r="P80" s="38">
        <f>VLOOKUP($C80,Profile!$B$5:$K$29,5,TRUE)*$O80</f>
        <v>0</v>
      </c>
    </row>
    <row r="81" spans="1:16" x14ac:dyDescent="0.25">
      <c r="A81" s="1">
        <v>0.10416666666739</v>
      </c>
      <c r="B81">
        <f t="shared" si="5"/>
        <v>390</v>
      </c>
      <c r="C81">
        <f t="shared" si="3"/>
        <v>150</v>
      </c>
      <c r="D81">
        <f>VLOOKUP($C81,Profile!$B$5:$K$29,2,TRUE)</f>
        <v>0.68</v>
      </c>
      <c r="E81" s="37">
        <f>VLOOKUP($C81,Profile!$B$5:$K$29,7,TRUE)</f>
        <v>0.71499999999999997</v>
      </c>
      <c r="F81">
        <f t="shared" si="4"/>
        <v>2.9166666666666599E-3</v>
      </c>
      <c r="G81">
        <v>5.602400199823371E-3</v>
      </c>
      <c r="H81" s="37"/>
      <c r="I81">
        <v>0</v>
      </c>
      <c r="J81" s="38">
        <f>-VLOOKUP($C81,Profile!$B$5:$K$29,3,TRUE)*($G81+$I81)</f>
        <v>-0.39216801398763595</v>
      </c>
      <c r="K81" s="38"/>
      <c r="O81">
        <v>0</v>
      </c>
      <c r="P81" s="38">
        <f>VLOOKUP($C81,Profile!$B$5:$K$29,5,TRUE)*$O81</f>
        <v>0</v>
      </c>
    </row>
    <row r="82" spans="1:16" x14ac:dyDescent="0.25">
      <c r="A82" s="1">
        <v>0.10763888888961</v>
      </c>
      <c r="B82">
        <f t="shared" si="5"/>
        <v>395</v>
      </c>
      <c r="C82">
        <f t="shared" si="3"/>
        <v>155</v>
      </c>
      <c r="D82">
        <f>VLOOKUP($C82,Profile!$B$5:$K$29,2,TRUE)</f>
        <v>0.68</v>
      </c>
      <c r="E82" s="37">
        <f>VLOOKUP($C82,Profile!$B$5:$K$29,7,TRUE)</f>
        <v>0.71499999999999997</v>
      </c>
      <c r="F82">
        <f t="shared" si="4"/>
        <v>2.9166666666666599E-3</v>
      </c>
      <c r="G82">
        <v>5.7408912723041147E-3</v>
      </c>
      <c r="H82" s="37"/>
      <c r="I82">
        <v>0</v>
      </c>
      <c r="J82" s="38">
        <f>-VLOOKUP($C82,Profile!$B$5:$K$29,3,TRUE)*($G82+$I82)</f>
        <v>-0.40186238906128802</v>
      </c>
      <c r="K82" s="38"/>
      <c r="O82">
        <v>0</v>
      </c>
      <c r="P82" s="38">
        <f>VLOOKUP($C82,Profile!$B$5:$K$29,5,TRUE)*$O82</f>
        <v>0</v>
      </c>
    </row>
    <row r="83" spans="1:16" x14ac:dyDescent="0.25">
      <c r="A83" s="1">
        <v>0.11111111111183</v>
      </c>
      <c r="B83">
        <f t="shared" si="5"/>
        <v>400</v>
      </c>
      <c r="C83">
        <f t="shared" si="3"/>
        <v>160</v>
      </c>
      <c r="D83">
        <f>VLOOKUP($C83,Profile!$B$5:$K$29,2,TRUE)</f>
        <v>0.68</v>
      </c>
      <c r="E83" s="37">
        <f>VLOOKUP($C83,Profile!$B$5:$K$29,7,TRUE)</f>
        <v>0.71499999999999997</v>
      </c>
      <c r="F83">
        <f t="shared" si="4"/>
        <v>2.9166666666666599E-3</v>
      </c>
      <c r="G83">
        <v>5.8522727666657816E-3</v>
      </c>
      <c r="H83" s="37"/>
      <c r="I83">
        <v>0</v>
      </c>
      <c r="J83" s="38">
        <f>-VLOOKUP($C83,Profile!$B$5:$K$29,3,TRUE)*($G83+$I83)</f>
        <v>-0.40965909366660469</v>
      </c>
      <c r="K83" s="38"/>
      <c r="O83">
        <v>0</v>
      </c>
      <c r="P83" s="38">
        <f>VLOOKUP($C83,Profile!$B$5:$K$29,5,TRUE)*$O83</f>
        <v>0</v>
      </c>
    </row>
    <row r="84" spans="1:16" x14ac:dyDescent="0.25">
      <c r="A84" s="1">
        <v>0.11458333333405001</v>
      </c>
      <c r="B84">
        <f t="shared" si="5"/>
        <v>405</v>
      </c>
      <c r="C84">
        <f t="shared" si="3"/>
        <v>165</v>
      </c>
      <c r="D84">
        <f>VLOOKUP($C84,Profile!$B$5:$K$29,2,TRUE)</f>
        <v>0.68</v>
      </c>
      <c r="E84" s="37">
        <f>VLOOKUP($C84,Profile!$B$5:$K$29,7,TRUE)</f>
        <v>0.71499999999999997</v>
      </c>
      <c r="F84">
        <f t="shared" si="4"/>
        <v>2.9166666666666599E-3</v>
      </c>
      <c r="G84">
        <v>5.9389398633948572E-3</v>
      </c>
      <c r="H84" s="37"/>
      <c r="I84">
        <v>0</v>
      </c>
      <c r="J84" s="38">
        <f>-VLOOKUP($C84,Profile!$B$5:$K$29,3,TRUE)*($G84+$I84)</f>
        <v>-0.41572579043764002</v>
      </c>
      <c r="K84" s="38"/>
      <c r="O84">
        <v>0</v>
      </c>
      <c r="P84" s="38">
        <f>VLOOKUP($C84,Profile!$B$5:$K$29,5,TRUE)*$O84</f>
        <v>0</v>
      </c>
    </row>
    <row r="85" spans="1:16" x14ac:dyDescent="0.25">
      <c r="A85" s="1">
        <v>0.11805555555626999</v>
      </c>
      <c r="B85">
        <f t="shared" si="5"/>
        <v>410</v>
      </c>
      <c r="C85">
        <f t="shared" si="3"/>
        <v>170</v>
      </c>
      <c r="D85">
        <f>VLOOKUP($C85,Profile!$B$5:$K$29,2,TRUE)</f>
        <v>0.68</v>
      </c>
      <c r="E85" s="37">
        <f>VLOOKUP($C85,Profile!$B$5:$K$29,7,TRUE)</f>
        <v>0.71499999999999997</v>
      </c>
      <c r="F85">
        <f t="shared" si="4"/>
        <v>2.9166666666666599E-3</v>
      </c>
      <c r="G85">
        <v>6.0031176924295465E-3</v>
      </c>
      <c r="H85" s="37"/>
      <c r="I85">
        <v>0</v>
      </c>
      <c r="J85" s="38">
        <f>-VLOOKUP($C85,Profile!$B$5:$K$29,3,TRUE)*($G85+$I85)</f>
        <v>-0.42021823847006823</v>
      </c>
      <c r="K85" s="38"/>
      <c r="O85">
        <v>0</v>
      </c>
      <c r="P85" s="38">
        <f>VLOOKUP($C85,Profile!$B$5:$K$29,5,TRUE)*$O85</f>
        <v>0</v>
      </c>
    </row>
    <row r="86" spans="1:16" x14ac:dyDescent="0.25">
      <c r="A86" s="1">
        <v>0.12152777777849</v>
      </c>
      <c r="B86">
        <f t="shared" si="5"/>
        <v>415</v>
      </c>
      <c r="C86">
        <f t="shared" si="3"/>
        <v>175</v>
      </c>
      <c r="D86">
        <f>VLOOKUP($C86,Profile!$B$5:$K$29,2,TRUE)</f>
        <v>0.68</v>
      </c>
      <c r="E86" s="37">
        <f>VLOOKUP($C86,Profile!$B$5:$K$29,7,TRUE)</f>
        <v>0.71499999999999997</v>
      </c>
      <c r="F86">
        <f t="shared" si="4"/>
        <v>2.9166666666666599E-3</v>
      </c>
      <c r="G86">
        <v>6.0468721582617353E-3</v>
      </c>
      <c r="H86" s="37"/>
      <c r="I86">
        <v>0</v>
      </c>
      <c r="J86" s="38">
        <f>-VLOOKUP($C86,Profile!$B$5:$K$29,3,TRUE)*($G86+$I86)</f>
        <v>-0.42328105107832148</v>
      </c>
      <c r="K86" s="38"/>
      <c r="O86">
        <v>0</v>
      </c>
      <c r="P86" s="38">
        <f>VLOOKUP($C86,Profile!$B$5:$K$29,5,TRUE)*$O86</f>
        <v>0</v>
      </c>
    </row>
    <row r="87" spans="1:16" x14ac:dyDescent="0.25">
      <c r="A87" s="1">
        <v>0.12500000000070999</v>
      </c>
      <c r="B87">
        <f t="shared" si="5"/>
        <v>420</v>
      </c>
      <c r="C87">
        <f t="shared" si="3"/>
        <v>180</v>
      </c>
      <c r="D87">
        <f>VLOOKUP($C87,Profile!$B$5:$K$29,2,TRUE)</f>
        <v>0.77</v>
      </c>
      <c r="E87" s="37">
        <f>VLOOKUP($C87,Profile!$B$5:$K$29,7,TRUE)</f>
        <v>0.71499999999999997</v>
      </c>
      <c r="F87">
        <f t="shared" si="4"/>
        <v>-4.5833333333333377E-3</v>
      </c>
      <c r="G87">
        <v>6.0721201205921112E-3</v>
      </c>
      <c r="H87" s="37"/>
      <c r="I87">
        <v>0</v>
      </c>
      <c r="J87" s="38">
        <f>-VLOOKUP($C87,Profile!$B$5:$K$29,3,TRUE)*($G87+$I87)</f>
        <v>-0.42504840844144781</v>
      </c>
      <c r="K87" s="38"/>
      <c r="O87">
        <v>0</v>
      </c>
      <c r="P87" s="38">
        <f>VLOOKUP($C87,Profile!$B$5:$K$29,5,TRUE)*$O87</f>
        <v>0</v>
      </c>
    </row>
    <row r="88" spans="1:16" x14ac:dyDescent="0.25">
      <c r="A88" s="1">
        <v>0.12847222222293</v>
      </c>
      <c r="B88">
        <f t="shared" si="5"/>
        <v>425</v>
      </c>
      <c r="C88">
        <f t="shared" si="3"/>
        <v>185</v>
      </c>
      <c r="D88">
        <f>VLOOKUP($C88,Profile!$B$5:$K$29,2,TRUE)</f>
        <v>0.77</v>
      </c>
      <c r="E88" s="37">
        <f>VLOOKUP($C88,Profile!$B$5:$K$29,7,TRUE)</f>
        <v>0.71499999999999997</v>
      </c>
      <c r="F88">
        <f t="shared" si="4"/>
        <v>-4.5833333333333377E-3</v>
      </c>
      <c r="G88">
        <v>6.0425409536171348E-3</v>
      </c>
      <c r="H88" s="37"/>
      <c r="I88">
        <v>0</v>
      </c>
      <c r="J88" s="38">
        <f>-VLOOKUP($C88,Profile!$B$5:$K$29,3,TRUE)*($G88+$I88)</f>
        <v>-0.42297786675319943</v>
      </c>
      <c r="K88" s="38"/>
      <c r="O88">
        <v>0</v>
      </c>
      <c r="P88" s="38">
        <f>VLOOKUP($C88,Profile!$B$5:$K$29,5,TRUE)*$O88</f>
        <v>0</v>
      </c>
    </row>
    <row r="89" spans="1:16" x14ac:dyDescent="0.25">
      <c r="A89" s="1">
        <v>0.13194444444514999</v>
      </c>
      <c r="B89">
        <f t="shared" si="5"/>
        <v>430</v>
      </c>
      <c r="C89">
        <f t="shared" si="3"/>
        <v>190</v>
      </c>
      <c r="D89">
        <f>VLOOKUP($C89,Profile!$B$5:$K$29,2,TRUE)</f>
        <v>0.77</v>
      </c>
      <c r="E89" s="37">
        <f>VLOOKUP($C89,Profile!$B$5:$K$29,7,TRUE)</f>
        <v>0.71499999999999997</v>
      </c>
      <c r="F89">
        <f t="shared" si="4"/>
        <v>-4.5833333333333377E-3</v>
      </c>
      <c r="G89">
        <v>5.9642910415278931E-3</v>
      </c>
      <c r="H89" s="37"/>
      <c r="I89">
        <v>0</v>
      </c>
      <c r="J89" s="38">
        <f>-VLOOKUP($C89,Profile!$B$5:$K$29,3,TRUE)*($G89+$I89)</f>
        <v>-0.41750037290695252</v>
      </c>
      <c r="K89" s="38"/>
      <c r="O89">
        <v>0</v>
      </c>
      <c r="P89" s="38">
        <f>VLOOKUP($C89,Profile!$B$5:$K$29,5,TRUE)*$O89</f>
        <v>0</v>
      </c>
    </row>
    <row r="90" spans="1:16" x14ac:dyDescent="0.25">
      <c r="A90" s="1">
        <v>0.13541666666737001</v>
      </c>
      <c r="B90">
        <f t="shared" si="5"/>
        <v>435</v>
      </c>
      <c r="C90">
        <f t="shared" si="3"/>
        <v>195</v>
      </c>
      <c r="D90">
        <f>VLOOKUP($C90,Profile!$B$5:$K$29,2,TRUE)</f>
        <v>0.77</v>
      </c>
      <c r="E90" s="37">
        <f>VLOOKUP($C90,Profile!$B$5:$K$29,7,TRUE)</f>
        <v>0.71499999999999997</v>
      </c>
      <c r="F90">
        <f t="shared" si="4"/>
        <v>-4.5833333333333377E-3</v>
      </c>
      <c r="G90">
        <v>5.843032645838399E-3</v>
      </c>
      <c r="H90" s="37"/>
      <c r="I90">
        <v>0</v>
      </c>
      <c r="J90" s="38">
        <f>-VLOOKUP($C90,Profile!$B$5:$K$29,3,TRUE)*($G90+$I90)</f>
        <v>-0.40901228520868793</v>
      </c>
      <c r="K90" s="38"/>
      <c r="O90">
        <v>0</v>
      </c>
      <c r="P90" s="38">
        <f>VLOOKUP($C90,Profile!$B$5:$K$29,5,TRUE)*$O90</f>
        <v>0</v>
      </c>
    </row>
    <row r="91" spans="1:16" x14ac:dyDescent="0.25">
      <c r="A91" s="1">
        <v>0.13888888888959</v>
      </c>
      <c r="B91">
        <f t="shared" si="5"/>
        <v>440</v>
      </c>
      <c r="C91">
        <f t="shared" si="3"/>
        <v>200</v>
      </c>
      <c r="D91">
        <f>VLOOKUP($C91,Profile!$B$5:$K$29,2,TRUE)</f>
        <v>0.77</v>
      </c>
      <c r="E91" s="37">
        <f>VLOOKUP($C91,Profile!$B$5:$K$29,7,TRUE)</f>
        <v>0.71499999999999997</v>
      </c>
      <c r="F91">
        <f t="shared" si="4"/>
        <v>-4.5833333333333377E-3</v>
      </c>
      <c r="G91">
        <v>5.6839679477420557E-3</v>
      </c>
      <c r="H91" s="37"/>
      <c r="I91">
        <v>0</v>
      </c>
      <c r="J91" s="38">
        <f>-VLOOKUP($C91,Profile!$B$5:$K$29,3,TRUE)*($G91+$I91)</f>
        <v>-0.39787775634194389</v>
      </c>
      <c r="K91" s="38"/>
      <c r="O91">
        <v>0</v>
      </c>
      <c r="P91" s="38">
        <f>VLOOKUP($C91,Profile!$B$5:$K$29,5,TRUE)*$O91</f>
        <v>0</v>
      </c>
    </row>
    <row r="92" spans="1:16" x14ac:dyDescent="0.25">
      <c r="A92" s="1">
        <v>0.14236111111180999</v>
      </c>
      <c r="B92">
        <f t="shared" si="5"/>
        <v>445</v>
      </c>
      <c r="C92">
        <f t="shared" si="3"/>
        <v>205</v>
      </c>
      <c r="D92">
        <f>VLOOKUP($C92,Profile!$B$5:$K$29,2,TRUE)</f>
        <v>0.77</v>
      </c>
      <c r="E92" s="37">
        <f>VLOOKUP($C92,Profile!$B$5:$K$29,7,TRUE)</f>
        <v>0.71499999999999997</v>
      </c>
      <c r="F92">
        <f t="shared" si="4"/>
        <v>-4.5833333333333377E-3</v>
      </c>
      <c r="G92">
        <v>5.4918709464354563E-3</v>
      </c>
      <c r="H92" s="37"/>
      <c r="I92">
        <v>0</v>
      </c>
      <c r="J92" s="38">
        <f>-VLOOKUP($C92,Profile!$B$5:$K$29,3,TRUE)*($G92+$I92)</f>
        <v>-0.38443096625048195</v>
      </c>
      <c r="K92" s="38"/>
      <c r="O92">
        <v>0</v>
      </c>
      <c r="P92" s="38">
        <f>VLOOKUP($C92,Profile!$B$5:$K$29,5,TRUE)*$O92</f>
        <v>0</v>
      </c>
    </row>
    <row r="93" spans="1:16" x14ac:dyDescent="0.25">
      <c r="A93" s="1">
        <v>0.14583333333403001</v>
      </c>
      <c r="B93">
        <f t="shared" si="5"/>
        <v>450</v>
      </c>
      <c r="C93">
        <f t="shared" si="3"/>
        <v>210</v>
      </c>
      <c r="D93">
        <f>VLOOKUP($C93,Profile!$B$5:$K$29,2,TRUE)</f>
        <v>0.77</v>
      </c>
      <c r="E93" s="37">
        <f>VLOOKUP($C93,Profile!$B$5:$K$29,7,TRUE)</f>
        <v>0.71499999999999997</v>
      </c>
      <c r="F93">
        <f t="shared" si="4"/>
        <v>-4.5833333333333377E-3</v>
      </c>
      <c r="G93">
        <v>5.2711173406183214E-3</v>
      </c>
      <c r="H93" s="37"/>
      <c r="I93">
        <v>0</v>
      </c>
      <c r="J93" s="38">
        <f>-VLOOKUP($C93,Profile!$B$5:$K$29,3,TRUE)*($G93+$I93)</f>
        <v>-0.3689782138432825</v>
      </c>
      <c r="K93" s="38"/>
      <c r="O93">
        <v>0</v>
      </c>
      <c r="P93" s="38">
        <f>VLOOKUP($C93,Profile!$B$5:$K$29,5,TRUE)*$O93</f>
        <v>0</v>
      </c>
    </row>
    <row r="94" spans="1:16" x14ac:dyDescent="0.25">
      <c r="A94" s="1">
        <v>0.14930555555625</v>
      </c>
      <c r="B94">
        <f t="shared" si="5"/>
        <v>455</v>
      </c>
      <c r="C94">
        <f t="shared" si="3"/>
        <v>215</v>
      </c>
      <c r="D94">
        <f>VLOOKUP($C94,Profile!$B$5:$K$29,2,TRUE)</f>
        <v>0.77</v>
      </c>
      <c r="E94" s="37">
        <f>VLOOKUP($C94,Profile!$B$5:$K$29,7,TRUE)</f>
        <v>0.71499999999999997</v>
      </c>
      <c r="F94">
        <f t="shared" si="4"/>
        <v>-4.5833333333333377E-3</v>
      </c>
      <c r="G94">
        <v>5.0257125131471115E-3</v>
      </c>
      <c r="H94" s="37"/>
      <c r="I94">
        <v>0</v>
      </c>
      <c r="J94" s="38">
        <f>-VLOOKUP($C94,Profile!$B$5:$K$29,3,TRUE)*($G94+$I94)</f>
        <v>-0.35179987592029782</v>
      </c>
      <c r="K94" s="38"/>
      <c r="O94">
        <v>0</v>
      </c>
      <c r="P94" s="38">
        <f>VLOOKUP($C94,Profile!$B$5:$K$29,5,TRUE)*$O94</f>
        <v>0</v>
      </c>
    </row>
    <row r="95" spans="1:16" x14ac:dyDescent="0.25">
      <c r="A95" s="1">
        <v>0.15277777777846999</v>
      </c>
      <c r="B95">
        <f t="shared" si="5"/>
        <v>460</v>
      </c>
      <c r="C95">
        <f t="shared" si="3"/>
        <v>220</v>
      </c>
      <c r="D95">
        <f>VLOOKUP($C95,Profile!$B$5:$K$29,2,TRUE)</f>
        <v>0.77</v>
      </c>
      <c r="E95" s="37">
        <f>VLOOKUP($C95,Profile!$B$5:$K$29,7,TRUE)</f>
        <v>0.71499999999999997</v>
      </c>
      <c r="F95">
        <f t="shared" si="4"/>
        <v>-4.5833333333333377E-3</v>
      </c>
      <c r="G95">
        <v>4.7593177319865685E-3</v>
      </c>
      <c r="H95" s="37"/>
      <c r="I95">
        <v>0</v>
      </c>
      <c r="J95" s="38">
        <f>-VLOOKUP($C95,Profile!$B$5:$K$29,3,TRUE)*($G95+$I95)</f>
        <v>-0.33315224123905979</v>
      </c>
      <c r="K95" s="38"/>
      <c r="O95">
        <v>0</v>
      </c>
      <c r="P95" s="38">
        <f>VLOOKUP($C95,Profile!$B$5:$K$29,5,TRUE)*$O95</f>
        <v>0</v>
      </c>
    </row>
    <row r="96" spans="1:16" x14ac:dyDescent="0.25">
      <c r="A96" s="1">
        <v>0.15625000000069</v>
      </c>
      <c r="B96">
        <f t="shared" si="5"/>
        <v>465</v>
      </c>
      <c r="C96">
        <f t="shared" si="3"/>
        <v>225</v>
      </c>
      <c r="D96">
        <f>VLOOKUP($C96,Profile!$B$5:$K$29,2,TRUE)</f>
        <v>0.77</v>
      </c>
      <c r="E96" s="37">
        <f>VLOOKUP($C96,Profile!$B$5:$K$29,7,TRUE)</f>
        <v>0.71499999999999997</v>
      </c>
      <c r="F96">
        <f t="shared" si="4"/>
        <v>-4.5833333333333377E-3</v>
      </c>
      <c r="G96">
        <v>4.4752746741467866E-3</v>
      </c>
      <c r="H96" s="37"/>
      <c r="I96">
        <v>0</v>
      </c>
      <c r="J96" s="38">
        <f>-VLOOKUP($C96,Profile!$B$5:$K$29,3,TRUE)*($G96+$I96)</f>
        <v>-0.31326922719027506</v>
      </c>
      <c r="K96" s="38"/>
      <c r="O96">
        <v>0</v>
      </c>
      <c r="P96" s="38">
        <f>VLOOKUP($C96,Profile!$B$5:$K$29,5,TRUE)*$O96</f>
        <v>0</v>
      </c>
    </row>
    <row r="97" spans="1:17" x14ac:dyDescent="0.25">
      <c r="A97" s="1">
        <v>0.15972222222290999</v>
      </c>
      <c r="B97">
        <f t="shared" si="5"/>
        <v>470</v>
      </c>
      <c r="C97">
        <f t="shared" si="3"/>
        <v>230</v>
      </c>
      <c r="D97">
        <f>VLOOKUP($C97,Profile!$B$5:$K$29,2,TRUE)</f>
        <v>0.77</v>
      </c>
      <c r="E97" s="37">
        <f>VLOOKUP($C97,Profile!$B$5:$K$29,7,TRUE)</f>
        <v>0.71499999999999997</v>
      </c>
      <c r="F97">
        <f t="shared" si="4"/>
        <v>-4.5833333333333377E-3</v>
      </c>
      <c r="G97">
        <v>4.1766283731932237E-3</v>
      </c>
      <c r="H97" s="37"/>
      <c r="I97">
        <v>0</v>
      </c>
      <c r="J97" s="38">
        <f>-VLOOKUP($C97,Profile!$B$5:$K$29,3,TRUE)*($G97+$I97)</f>
        <v>-0.29236398612352565</v>
      </c>
      <c r="K97" s="38"/>
      <c r="O97">
        <v>0</v>
      </c>
      <c r="P97" s="38">
        <f>VLOOKUP($C97,Profile!$B$5:$K$29,5,TRUE)*$O97</f>
        <v>0</v>
      </c>
    </row>
    <row r="98" spans="1:17" x14ac:dyDescent="0.25">
      <c r="A98" s="1">
        <v>0.16319444444513001</v>
      </c>
      <c r="B98">
        <f t="shared" si="5"/>
        <v>475</v>
      </c>
      <c r="C98">
        <f t="shared" si="3"/>
        <v>235</v>
      </c>
      <c r="D98">
        <f>VLOOKUP($C98,Profile!$B$5:$K$29,2,TRUE)</f>
        <v>0.77</v>
      </c>
      <c r="E98" s="37">
        <f>VLOOKUP($C98,Profile!$B$5:$K$29,7,TRUE)</f>
        <v>0.71499999999999997</v>
      </c>
      <c r="F98">
        <f t="shared" si="4"/>
        <v>-4.5833333333333377E-3</v>
      </c>
      <c r="G98">
        <v>3.8661486851540887E-3</v>
      </c>
      <c r="H98" s="37"/>
      <c r="I98">
        <v>0</v>
      </c>
      <c r="J98" s="38">
        <f>-VLOOKUP($C98,Profile!$B$5:$K$29,3,TRUE)*($G98+$I98)</f>
        <v>-0.27063040796078619</v>
      </c>
      <c r="K98" s="38"/>
      <c r="O98">
        <v>0</v>
      </c>
      <c r="P98" s="38">
        <f>VLOOKUP($C98,Profile!$B$5:$K$29,5,TRUE)*$O98</f>
        <v>0</v>
      </c>
    </row>
    <row r="99" spans="1:17" x14ac:dyDescent="0.25">
      <c r="A99" s="1">
        <v>0.166666666667345</v>
      </c>
      <c r="B99">
        <f t="shared" si="5"/>
        <v>480</v>
      </c>
      <c r="C99">
        <f t="shared" si="3"/>
        <v>240</v>
      </c>
      <c r="D99">
        <f>VLOOKUP($C99,Profile!$B$5:$K$29,2,TRUE)</f>
        <v>0.78</v>
      </c>
      <c r="E99" s="37">
        <f>VLOOKUP($C99,Profile!$B$5:$K$29,7,TRUE)</f>
        <v>0.71499999999999997</v>
      </c>
      <c r="F99">
        <f t="shared" si="4"/>
        <v>-5.4166666666666712E-3</v>
      </c>
      <c r="G99">
        <v>3.5463503622056168E-3</v>
      </c>
      <c r="H99" s="37"/>
      <c r="I99">
        <v>0</v>
      </c>
      <c r="J99" s="38">
        <f>-VLOOKUP($C99,Profile!$B$5:$K$29,3,TRUE)*($G99+$I99)</f>
        <v>-0.24824452535439318</v>
      </c>
      <c r="K99" s="37"/>
      <c r="O99">
        <v>0</v>
      </c>
      <c r="P99" s="38">
        <f>VLOOKUP($C99,Profile!$B$5:$K$29,5,TRUE)*$O99</f>
        <v>0</v>
      </c>
      <c r="Q99" s="37">
        <v>100</v>
      </c>
    </row>
    <row r="100" spans="1:17" x14ac:dyDescent="0.25">
      <c r="A100" s="1">
        <v>0.17013888888956499</v>
      </c>
      <c r="B100">
        <f t="shared" si="5"/>
        <v>485</v>
      </c>
      <c r="C100">
        <f t="shared" si="3"/>
        <v>245</v>
      </c>
      <c r="D100">
        <f>VLOOKUP($C100,Profile!$B$5:$K$29,2,TRUE)</f>
        <v>0.78</v>
      </c>
      <c r="E100" s="37">
        <f>VLOOKUP($C100,Profile!$B$5:$K$29,7,TRUE)</f>
        <v>0.71499999999999997</v>
      </c>
      <c r="F100">
        <f t="shared" si="4"/>
        <v>-5.4166666666666712E-3</v>
      </c>
      <c r="G100">
        <v>3.2147465753149355E-3</v>
      </c>
      <c r="H100" s="37"/>
      <c r="I100">
        <v>0</v>
      </c>
      <c r="J100" s="38">
        <f>-VLOOKUP($C100,Profile!$B$5:$K$29,3,TRUE)*($G100+$I100)</f>
        <v>-0.22503226027204548</v>
      </c>
      <c r="K100" s="37"/>
      <c r="O100">
        <v>0</v>
      </c>
      <c r="P100" s="38">
        <f>VLOOKUP($C100,Profile!$B$5:$K$29,5,TRUE)*$O100</f>
        <v>0</v>
      </c>
      <c r="Q100">
        <f>+Q99+$J100+$P100</f>
        <v>99.774967739727956</v>
      </c>
    </row>
    <row r="101" spans="1:17" x14ac:dyDescent="0.25">
      <c r="A101" s="1">
        <v>0.17361111111178501</v>
      </c>
      <c r="B101">
        <f t="shared" si="5"/>
        <v>490</v>
      </c>
      <c r="C101">
        <f t="shared" si="3"/>
        <v>250</v>
      </c>
      <c r="D101">
        <f>VLOOKUP($C101,Profile!$B$5:$K$29,2,TRUE)</f>
        <v>0.78</v>
      </c>
      <c r="E101" s="37">
        <f>VLOOKUP($C101,Profile!$B$5:$K$29,7,TRUE)</f>
        <v>0.71499999999999997</v>
      </c>
      <c r="F101">
        <f t="shared" si="4"/>
        <v>-5.4166666666666712E-3</v>
      </c>
      <c r="G101">
        <v>2.873927565836063E-3</v>
      </c>
      <c r="H101" s="37"/>
      <c r="I101">
        <v>0</v>
      </c>
      <c r="J101" s="38">
        <f>-VLOOKUP($C101,Profile!$B$5:$K$29,3,TRUE)*($G101+$I101)</f>
        <v>-0.2011749296085244</v>
      </c>
      <c r="K101" s="37"/>
      <c r="O101">
        <v>0</v>
      </c>
      <c r="P101" s="38">
        <f>VLOOKUP($C101,Profile!$B$5:$K$29,5,TRUE)*$O101</f>
        <v>0</v>
      </c>
      <c r="Q101">
        <f t="shared" ref="Q101:Q164" si="6">+Q100+$J101+$P101</f>
        <v>99.573792810119429</v>
      </c>
    </row>
    <row r="102" spans="1:17" x14ac:dyDescent="0.25">
      <c r="A102" s="1">
        <v>0.177083333334005</v>
      </c>
      <c r="B102">
        <f t="shared" si="5"/>
        <v>495</v>
      </c>
      <c r="C102">
        <f t="shared" si="3"/>
        <v>255</v>
      </c>
      <c r="D102">
        <f>VLOOKUP($C102,Profile!$B$5:$K$29,2,TRUE)</f>
        <v>0.78</v>
      </c>
      <c r="E102" s="37">
        <f>VLOOKUP($C102,Profile!$B$5:$K$29,7,TRUE)</f>
        <v>0.71499999999999997</v>
      </c>
      <c r="F102">
        <f t="shared" si="4"/>
        <v>-5.4166666666666712E-3</v>
      </c>
      <c r="G102">
        <v>2.5262389714754111E-3</v>
      </c>
      <c r="H102" s="37"/>
      <c r="I102">
        <v>0</v>
      </c>
      <c r="J102" s="38">
        <f>-VLOOKUP($C102,Profile!$B$5:$K$29,3,TRUE)*($G102+$I102)</f>
        <v>-0.17683672800327876</v>
      </c>
      <c r="K102" s="37"/>
      <c r="O102">
        <v>0</v>
      </c>
      <c r="P102" s="38">
        <f>VLOOKUP($C102,Profile!$B$5:$K$29,5,TRUE)*$O102</f>
        <v>0</v>
      </c>
      <c r="Q102">
        <f t="shared" si="6"/>
        <v>99.396956082116148</v>
      </c>
    </row>
    <row r="103" spans="1:17" x14ac:dyDescent="0.25">
      <c r="A103" s="1">
        <v>0.18055555555622499</v>
      </c>
      <c r="B103">
        <f t="shared" si="5"/>
        <v>500</v>
      </c>
      <c r="C103">
        <f t="shared" si="3"/>
        <v>260</v>
      </c>
      <c r="D103">
        <f>VLOOKUP($C103,Profile!$B$5:$K$29,2,TRUE)</f>
        <v>0.78</v>
      </c>
      <c r="E103" s="37">
        <f>VLOOKUP($C103,Profile!$B$5:$K$29,7,TRUE)</f>
        <v>0.71499999999999997</v>
      </c>
      <c r="F103">
        <f t="shared" si="4"/>
        <v>-5.4166666666666712E-3</v>
      </c>
      <c r="G103">
        <v>2.1738000110658141E-3</v>
      </c>
      <c r="H103" s="37"/>
      <c r="I103">
        <v>0</v>
      </c>
      <c r="J103" s="38">
        <f>-VLOOKUP($C103,Profile!$B$5:$K$29,3,TRUE)*($G103+$I103)</f>
        <v>-0.15216600077460699</v>
      </c>
      <c r="K103" s="37"/>
      <c r="O103">
        <v>0</v>
      </c>
      <c r="P103" s="38">
        <f>VLOOKUP($C103,Profile!$B$5:$K$29,5,TRUE)*$O103</f>
        <v>0</v>
      </c>
      <c r="Q103">
        <f t="shared" si="6"/>
        <v>99.244790081341534</v>
      </c>
    </row>
    <row r="104" spans="1:17" x14ac:dyDescent="0.25">
      <c r="A104" s="1">
        <v>0.18402777777844401</v>
      </c>
      <c r="B104">
        <f t="shared" si="5"/>
        <v>505</v>
      </c>
      <c r="C104">
        <f t="shared" si="3"/>
        <v>265</v>
      </c>
      <c r="D104">
        <f>VLOOKUP($C104,Profile!$B$5:$K$29,2,TRUE)</f>
        <v>0.78</v>
      </c>
      <c r="E104" s="37">
        <f>VLOOKUP($C104,Profile!$B$5:$K$29,7,TRUE)</f>
        <v>0.71499999999999997</v>
      </c>
      <c r="F104">
        <f t="shared" si="4"/>
        <v>-5.4166666666666712E-3</v>
      </c>
      <c r="G104">
        <v>1.8185204717270892E-3</v>
      </c>
      <c r="H104" s="37"/>
      <c r="I104">
        <v>0</v>
      </c>
      <c r="J104" s="38">
        <f>-VLOOKUP($C104,Profile!$B$5:$K$29,3,TRUE)*($G104+$I104)</f>
        <v>-0.12729643302089624</v>
      </c>
      <c r="K104" s="37"/>
      <c r="O104">
        <v>0</v>
      </c>
      <c r="P104" s="38">
        <f>VLOOKUP($C104,Profile!$B$5:$K$29,5,TRUE)*$O104</f>
        <v>0</v>
      </c>
      <c r="Q104">
        <f t="shared" si="6"/>
        <v>99.117493648320632</v>
      </c>
    </row>
    <row r="105" spans="1:17" x14ac:dyDescent="0.25">
      <c r="A105" s="1">
        <v>0.187500000000664</v>
      </c>
      <c r="B105">
        <f t="shared" si="5"/>
        <v>510</v>
      </c>
      <c r="C105">
        <f t="shared" si="3"/>
        <v>270</v>
      </c>
      <c r="D105">
        <f>VLOOKUP($C105,Profile!$B$5:$K$29,2,TRUE)</f>
        <v>0.78</v>
      </c>
      <c r="E105" s="37">
        <f>VLOOKUP($C105,Profile!$B$5:$K$29,7,TRUE)</f>
        <v>0.71499999999999997</v>
      </c>
      <c r="F105">
        <f t="shared" si="4"/>
        <v>-5.4166666666666712E-3</v>
      </c>
      <c r="G105">
        <v>1.4621165715985368E-3</v>
      </c>
      <c r="H105" s="37"/>
      <c r="I105">
        <v>0</v>
      </c>
      <c r="J105" s="38">
        <f>-VLOOKUP($C105,Profile!$B$5:$K$29,3,TRUE)*($G105+$I105)</f>
        <v>-0.10234816001189757</v>
      </c>
      <c r="K105" s="37"/>
      <c r="O105">
        <v>0</v>
      </c>
      <c r="P105" s="38">
        <f>VLOOKUP($C105,Profile!$B$5:$K$29,5,TRUE)*$O105</f>
        <v>0</v>
      </c>
      <c r="Q105">
        <f t="shared" si="6"/>
        <v>99.015145488308733</v>
      </c>
    </row>
    <row r="106" spans="1:17" x14ac:dyDescent="0.25">
      <c r="A106" s="1">
        <v>0.19097222222288401</v>
      </c>
      <c r="B106">
        <f t="shared" si="5"/>
        <v>515</v>
      </c>
      <c r="C106">
        <f t="shared" si="3"/>
        <v>275</v>
      </c>
      <c r="D106">
        <f>VLOOKUP($C106,Profile!$B$5:$K$29,2,TRUE)</f>
        <v>0.78</v>
      </c>
      <c r="E106" s="37">
        <f>VLOOKUP($C106,Profile!$B$5:$K$29,7,TRUE)</f>
        <v>0.71499999999999997</v>
      </c>
      <c r="F106">
        <f t="shared" si="4"/>
        <v>-5.4166666666666712E-3</v>
      </c>
      <c r="G106">
        <v>1.1061257670800697E-3</v>
      </c>
      <c r="H106" s="37"/>
      <c r="I106">
        <v>0</v>
      </c>
      <c r="J106" s="38">
        <f>-VLOOKUP($C106,Profile!$B$5:$K$29,3,TRUE)*($G106+$I106)</f>
        <v>-7.7428803695604884E-2</v>
      </c>
      <c r="K106" s="37"/>
      <c r="O106">
        <v>0</v>
      </c>
      <c r="P106" s="38">
        <f>VLOOKUP($C106,Profile!$B$5:$K$29,5,TRUE)*$O106</f>
        <v>0</v>
      </c>
      <c r="Q106">
        <f t="shared" si="6"/>
        <v>98.937716684613122</v>
      </c>
    </row>
    <row r="107" spans="1:17" x14ac:dyDescent="0.25">
      <c r="A107" s="1">
        <v>0.194444444445104</v>
      </c>
      <c r="B107">
        <f t="shared" si="5"/>
        <v>520</v>
      </c>
      <c r="C107">
        <f t="shared" si="3"/>
        <v>280</v>
      </c>
      <c r="D107">
        <f>VLOOKUP($C107,Profile!$B$5:$K$29,2,TRUE)</f>
        <v>0.78</v>
      </c>
      <c r="E107" s="37">
        <f>VLOOKUP($C107,Profile!$B$5:$K$29,7,TRUE)</f>
        <v>0.71499999999999997</v>
      </c>
      <c r="F107">
        <f t="shared" si="4"/>
        <v>-5.4166666666666712E-3</v>
      </c>
      <c r="G107">
        <v>7.5192056950756426E-4</v>
      </c>
      <c r="H107" s="37"/>
      <c r="I107">
        <v>0</v>
      </c>
      <c r="J107" s="38">
        <f>-VLOOKUP($C107,Profile!$B$5:$K$29,3,TRUE)*($G107+$I107)</f>
        <v>-5.26344398655295E-2</v>
      </c>
      <c r="K107" s="37"/>
      <c r="O107">
        <v>0</v>
      </c>
      <c r="P107" s="38">
        <f>VLOOKUP($C107,Profile!$B$5:$K$29,5,TRUE)*$O107</f>
        <v>0</v>
      </c>
      <c r="Q107">
        <f t="shared" si="6"/>
        <v>98.885082244747593</v>
      </c>
    </row>
    <row r="108" spans="1:17" x14ac:dyDescent="0.25">
      <c r="A108" s="1">
        <v>0.19791666666732399</v>
      </c>
      <c r="B108">
        <f t="shared" si="5"/>
        <v>525</v>
      </c>
      <c r="C108">
        <f t="shared" si="3"/>
        <v>285</v>
      </c>
      <c r="D108">
        <f>VLOOKUP($C108,Profile!$B$5:$K$29,2,TRUE)</f>
        <v>0.78</v>
      </c>
      <c r="E108" s="37">
        <f>VLOOKUP($C108,Profile!$B$5:$K$29,7,TRUE)</f>
        <v>0.71499999999999997</v>
      </c>
      <c r="F108">
        <f t="shared" si="4"/>
        <v>-5.4166666666666712E-3</v>
      </c>
      <c r="G108">
        <v>4.0072143240153888E-4</v>
      </c>
      <c r="H108" s="37"/>
      <c r="I108">
        <v>0</v>
      </c>
      <c r="J108" s="38">
        <f>-VLOOKUP($C108,Profile!$B$5:$K$29,3,TRUE)*($G108+$I108)</f>
        <v>-2.8050500268107723E-2</v>
      </c>
      <c r="K108" s="37"/>
      <c r="O108">
        <v>0</v>
      </c>
      <c r="P108" s="38">
        <f>VLOOKUP($C108,Profile!$B$5:$K$29,5,TRUE)*$O108</f>
        <v>0</v>
      </c>
      <c r="Q108">
        <f t="shared" si="6"/>
        <v>98.857031744479485</v>
      </c>
    </row>
    <row r="109" spans="1:17" x14ac:dyDescent="0.25">
      <c r="A109" s="1">
        <v>0.20138888888954401</v>
      </c>
      <c r="B109">
        <f t="shared" si="5"/>
        <v>530</v>
      </c>
      <c r="C109">
        <f t="shared" si="3"/>
        <v>290</v>
      </c>
      <c r="D109">
        <f>VLOOKUP($C109,Profile!$B$5:$K$29,2,TRUE)</f>
        <v>0.78</v>
      </c>
      <c r="E109" s="37">
        <f>VLOOKUP($C109,Profile!$B$5:$K$29,7,TRUE)</f>
        <v>0.71499999999999997</v>
      </c>
      <c r="F109">
        <f t="shared" si="4"/>
        <v>-5.4166666666666712E-3</v>
      </c>
      <c r="G109">
        <v>5.3608766854259596E-5</v>
      </c>
      <c r="H109" s="37"/>
      <c r="I109">
        <v>0</v>
      </c>
      <c r="J109" s="38">
        <f>-VLOOKUP($C109,Profile!$B$5:$K$29,3,TRUE)*($G109+$I109)</f>
        <v>-3.7526136797981719E-3</v>
      </c>
      <c r="K109" s="37"/>
      <c r="O109">
        <v>0</v>
      </c>
      <c r="P109" s="38">
        <f>VLOOKUP($C109,Profile!$B$5:$K$29,5,TRUE)*$O109</f>
        <v>0</v>
      </c>
      <c r="Q109">
        <f t="shared" si="6"/>
        <v>98.853279130799692</v>
      </c>
    </row>
    <row r="110" spans="1:17" x14ac:dyDescent="0.25">
      <c r="A110" s="1">
        <v>0.204861111111764</v>
      </c>
      <c r="B110">
        <f t="shared" si="5"/>
        <v>535</v>
      </c>
      <c r="C110">
        <f t="shared" si="3"/>
        <v>295</v>
      </c>
      <c r="D110">
        <f>VLOOKUP($C110,Profile!$B$5:$K$29,2,TRUE)</f>
        <v>0.78</v>
      </c>
      <c r="E110" s="37">
        <f>VLOOKUP($C110,Profile!$B$5:$K$29,7,TRUE)</f>
        <v>0.71499999999999997</v>
      </c>
      <c r="F110">
        <f t="shared" si="4"/>
        <v>-5.4166666666666712E-3</v>
      </c>
      <c r="G110">
        <v>-2.8846586075281604E-4</v>
      </c>
      <c r="H110" s="37"/>
      <c r="I110">
        <v>0</v>
      </c>
      <c r="J110" s="38">
        <f>-VLOOKUP($C110,Profile!$B$5:$K$29,3,TRUE)*($G110+$I110)</f>
        <v>2.0192610252697123E-2</v>
      </c>
      <c r="K110" s="37"/>
      <c r="O110">
        <v>0</v>
      </c>
      <c r="P110" s="38">
        <f>VLOOKUP($C110,Profile!$B$5:$K$29,5,TRUE)*$O110</f>
        <v>0</v>
      </c>
      <c r="Q110">
        <f t="shared" si="6"/>
        <v>98.873471741052384</v>
      </c>
    </row>
    <row r="111" spans="1:17" x14ac:dyDescent="0.25">
      <c r="A111" s="1">
        <v>0.20833333333398399</v>
      </c>
      <c r="B111">
        <f t="shared" si="5"/>
        <v>540</v>
      </c>
      <c r="C111">
        <f t="shared" si="3"/>
        <v>300</v>
      </c>
      <c r="D111">
        <f>VLOOKUP($C111,Profile!$B$5:$K$29,2,TRUE)</f>
        <v>0.74</v>
      </c>
      <c r="E111" s="37">
        <f>VLOOKUP($C111,Profile!$B$5:$K$29,7,TRUE)</f>
        <v>0.71499999999999997</v>
      </c>
      <c r="F111">
        <f t="shared" si="4"/>
        <v>-2.083333333333335E-3</v>
      </c>
      <c r="G111">
        <v>-6.2466929769258684E-4</v>
      </c>
      <c r="H111" s="37"/>
      <c r="I111">
        <v>0</v>
      </c>
      <c r="J111" s="38">
        <f>-VLOOKUP($C111,Profile!$B$5:$K$29,3,TRUE)*($G111+$I111)</f>
        <v>4.3726850838481081E-2</v>
      </c>
      <c r="K111" s="37"/>
      <c r="O111">
        <v>0</v>
      </c>
      <c r="P111" s="38">
        <f>VLOOKUP($C111,Profile!$B$5:$K$29,5,TRUE)*$O111</f>
        <v>0</v>
      </c>
      <c r="Q111">
        <f t="shared" si="6"/>
        <v>98.917198591890866</v>
      </c>
    </row>
    <row r="112" spans="1:17" x14ac:dyDescent="0.25">
      <c r="A112" s="1">
        <v>0.21180555555620301</v>
      </c>
      <c r="B112">
        <f t="shared" si="5"/>
        <v>545</v>
      </c>
      <c r="C112">
        <f t="shared" si="3"/>
        <v>305</v>
      </c>
      <c r="D112">
        <f>VLOOKUP($C112,Profile!$B$5:$K$29,2,TRUE)</f>
        <v>0.74</v>
      </c>
      <c r="E112" s="37">
        <f>VLOOKUP($C112,Profile!$B$5:$K$29,7,TRUE)</f>
        <v>0.71499999999999997</v>
      </c>
      <c r="F112">
        <f t="shared" si="4"/>
        <v>-2.083333333333335E-3</v>
      </c>
      <c r="G112">
        <v>-9.3252220990141198E-4</v>
      </c>
      <c r="H112" s="37"/>
      <c r="I112">
        <v>0</v>
      </c>
      <c r="J112" s="38">
        <f>-VLOOKUP($C112,Profile!$B$5:$K$29,3,TRUE)*($G112+$I112)</f>
        <v>6.5276554693098843E-2</v>
      </c>
      <c r="K112" s="37"/>
      <c r="O112">
        <v>0</v>
      </c>
      <c r="P112" s="38">
        <f>VLOOKUP($C112,Profile!$B$5:$K$29,5,TRUE)*$O112</f>
        <v>0</v>
      </c>
      <c r="Q112">
        <f t="shared" si="6"/>
        <v>98.982475146583965</v>
      </c>
    </row>
    <row r="113" spans="1:17" x14ac:dyDescent="0.25">
      <c r="A113" s="1">
        <v>0.215277777778423</v>
      </c>
      <c r="B113">
        <f t="shared" si="5"/>
        <v>550</v>
      </c>
      <c r="C113">
        <f t="shared" si="3"/>
        <v>310</v>
      </c>
      <c r="D113">
        <f>VLOOKUP($C113,Profile!$B$5:$K$29,2,TRUE)</f>
        <v>0.74</v>
      </c>
      <c r="E113" s="37">
        <f>VLOOKUP($C113,Profile!$B$5:$K$29,7,TRUE)</f>
        <v>0.71499999999999997</v>
      </c>
      <c r="F113">
        <f t="shared" si="4"/>
        <v>-2.083333333333335E-3</v>
      </c>
      <c r="G113">
        <v>-1.2136720517828686E-3</v>
      </c>
      <c r="H113" s="37"/>
      <c r="I113">
        <v>0</v>
      </c>
      <c r="J113" s="38">
        <f>-VLOOKUP($C113,Profile!$B$5:$K$29,3,TRUE)*($G113+$I113)</f>
        <v>8.4957043624800804E-2</v>
      </c>
      <c r="K113" s="37"/>
      <c r="O113">
        <v>0</v>
      </c>
      <c r="P113" s="38">
        <f>VLOOKUP($C113,Profile!$B$5:$K$29,5,TRUE)*$O113</f>
        <v>0</v>
      </c>
      <c r="Q113">
        <f t="shared" si="6"/>
        <v>99.067432190208763</v>
      </c>
    </row>
    <row r="114" spans="1:17" x14ac:dyDescent="0.25">
      <c r="A114" s="1">
        <v>0.21875000000064301</v>
      </c>
      <c r="B114">
        <f t="shared" si="5"/>
        <v>555</v>
      </c>
      <c r="C114">
        <f t="shared" si="3"/>
        <v>315</v>
      </c>
      <c r="D114">
        <f>VLOOKUP($C114,Profile!$B$5:$K$29,2,TRUE)</f>
        <v>0.74</v>
      </c>
      <c r="E114" s="37">
        <f>VLOOKUP($C114,Profile!$B$5:$K$29,7,TRUE)</f>
        <v>0.71499999999999997</v>
      </c>
      <c r="F114">
        <f t="shared" si="4"/>
        <v>-2.083333333333335E-3</v>
      </c>
      <c r="G114">
        <v>-1.4696845341789476E-3</v>
      </c>
      <c r="H114" s="37"/>
      <c r="I114">
        <v>0</v>
      </c>
      <c r="J114" s="38">
        <f>-VLOOKUP($C114,Profile!$B$5:$K$29,3,TRUE)*($G114+$I114)</f>
        <v>0.10287791739252633</v>
      </c>
      <c r="K114" s="37"/>
      <c r="O114">
        <v>0</v>
      </c>
      <c r="P114" s="38">
        <f>VLOOKUP($C114,Profile!$B$5:$K$29,5,TRUE)*$O114</f>
        <v>0</v>
      </c>
      <c r="Q114">
        <f t="shared" si="6"/>
        <v>99.170310107601296</v>
      </c>
    </row>
    <row r="115" spans="1:17" x14ac:dyDescent="0.25">
      <c r="A115" s="1">
        <v>0.222222222222863</v>
      </c>
      <c r="B115">
        <f t="shared" si="5"/>
        <v>560</v>
      </c>
      <c r="C115">
        <f t="shared" si="3"/>
        <v>320</v>
      </c>
      <c r="D115">
        <f>VLOOKUP($C115,Profile!$B$5:$K$29,2,TRUE)</f>
        <v>0.74</v>
      </c>
      <c r="E115" s="37">
        <f>VLOOKUP($C115,Profile!$B$5:$K$29,7,TRUE)</f>
        <v>0.71499999999999997</v>
      </c>
      <c r="F115">
        <f t="shared" si="4"/>
        <v>-2.083333333333335E-3</v>
      </c>
      <c r="G115">
        <v>-1.7020472740146818E-3</v>
      </c>
      <c r="H115" s="37"/>
      <c r="I115">
        <v>0</v>
      </c>
      <c r="J115" s="38">
        <f>-VLOOKUP($C115,Profile!$B$5:$K$29,3,TRUE)*($G115+$I115)</f>
        <v>0.11914330918102772</v>
      </c>
      <c r="K115" s="37"/>
      <c r="O115">
        <v>0</v>
      </c>
      <c r="P115" s="38">
        <f>VLOOKUP($C115,Profile!$B$5:$K$29,5,TRUE)*$O115</f>
        <v>0</v>
      </c>
      <c r="Q115">
        <f t="shared" si="6"/>
        <v>99.289453416782322</v>
      </c>
    </row>
    <row r="116" spans="1:17" x14ac:dyDescent="0.25">
      <c r="A116" s="1">
        <v>0.22569444444508299</v>
      </c>
      <c r="B116">
        <f t="shared" si="5"/>
        <v>565</v>
      </c>
      <c r="C116">
        <f t="shared" si="3"/>
        <v>325</v>
      </c>
      <c r="D116">
        <f>VLOOKUP($C116,Profile!$B$5:$K$29,2,TRUE)</f>
        <v>0.74</v>
      </c>
      <c r="E116" s="37">
        <f>VLOOKUP($C116,Profile!$B$5:$K$29,7,TRUE)</f>
        <v>0.71499999999999997</v>
      </c>
      <c r="F116">
        <f t="shared" si="4"/>
        <v>-2.083333333333335E-3</v>
      </c>
      <c r="G116">
        <v>-1.9121732960655105E-3</v>
      </c>
      <c r="H116" s="37"/>
      <c r="I116">
        <v>0</v>
      </c>
      <c r="J116" s="38">
        <f>-VLOOKUP($C116,Profile!$B$5:$K$29,3,TRUE)*($G116+$I116)</f>
        <v>0.13385213072458574</v>
      </c>
      <c r="K116" s="37"/>
      <c r="O116">
        <v>0</v>
      </c>
      <c r="P116" s="38">
        <f>VLOOKUP($C116,Profile!$B$5:$K$29,5,TRUE)*$O116</f>
        <v>0</v>
      </c>
      <c r="Q116">
        <f t="shared" si="6"/>
        <v>99.423305547506914</v>
      </c>
    </row>
    <row r="117" spans="1:17" x14ac:dyDescent="0.25">
      <c r="A117" s="1">
        <v>0.22916666666730301</v>
      </c>
      <c r="B117">
        <f t="shared" si="5"/>
        <v>570</v>
      </c>
      <c r="C117">
        <f t="shared" si="3"/>
        <v>330</v>
      </c>
      <c r="D117">
        <f>VLOOKUP($C117,Profile!$B$5:$K$29,2,TRUE)</f>
        <v>0.74</v>
      </c>
      <c r="E117" s="37">
        <f>VLOOKUP($C117,Profile!$B$5:$K$29,7,TRUE)</f>
        <v>0.71499999999999997</v>
      </c>
      <c r="F117">
        <f t="shared" si="4"/>
        <v>-2.083333333333335E-3</v>
      </c>
      <c r="G117">
        <v>-2.1014043921570866E-3</v>
      </c>
      <c r="H117" s="37"/>
      <c r="I117">
        <v>0</v>
      </c>
      <c r="J117" s="38">
        <f>-VLOOKUP($C117,Profile!$B$5:$K$29,3,TRUE)*($G117+$I117)</f>
        <v>0.14709830745099606</v>
      </c>
      <c r="K117" s="37"/>
      <c r="O117">
        <v>0</v>
      </c>
      <c r="P117" s="38">
        <f>VLOOKUP($C117,Profile!$B$5:$K$29,5,TRUE)*$O117</f>
        <v>0</v>
      </c>
      <c r="Q117">
        <f t="shared" si="6"/>
        <v>99.570403854957917</v>
      </c>
    </row>
    <row r="118" spans="1:17" x14ac:dyDescent="0.25">
      <c r="A118" s="1">
        <v>0.232638888889523</v>
      </c>
      <c r="B118">
        <f t="shared" si="5"/>
        <v>575</v>
      </c>
      <c r="C118">
        <f t="shared" si="3"/>
        <v>335</v>
      </c>
      <c r="D118">
        <f>VLOOKUP($C118,Profile!$B$5:$K$29,2,TRUE)</f>
        <v>0.74</v>
      </c>
      <c r="E118" s="37">
        <f>VLOOKUP($C118,Profile!$B$5:$K$29,7,TRUE)</f>
        <v>0.71499999999999997</v>
      </c>
      <c r="F118">
        <f t="shared" si="4"/>
        <v>-2.083333333333335E-3</v>
      </c>
      <c r="G118">
        <v>-2.2710143429533077E-3</v>
      </c>
      <c r="H118" s="37"/>
      <c r="I118">
        <v>0</v>
      </c>
      <c r="J118" s="38">
        <f>-VLOOKUP($C118,Profile!$B$5:$K$29,3,TRUE)*($G118+$I118)</f>
        <v>0.15897100400673153</v>
      </c>
      <c r="K118" s="37"/>
      <c r="O118">
        <v>0</v>
      </c>
      <c r="P118" s="38">
        <f>VLOOKUP($C118,Profile!$B$5:$K$29,5,TRUE)*$O118</f>
        <v>0</v>
      </c>
      <c r="Q118">
        <f t="shared" si="6"/>
        <v>99.729374858964647</v>
      </c>
    </row>
    <row r="119" spans="1:17" x14ac:dyDescent="0.25">
      <c r="A119" s="1">
        <v>0.23611111111174299</v>
      </c>
      <c r="B119">
        <f t="shared" si="5"/>
        <v>580</v>
      </c>
      <c r="C119">
        <f t="shared" si="3"/>
        <v>340</v>
      </c>
      <c r="D119">
        <f>VLOOKUP($C119,Profile!$B$5:$K$29,2,TRUE)</f>
        <v>0.74</v>
      </c>
      <c r="E119" s="37">
        <f>VLOOKUP($C119,Profile!$B$5:$K$29,7,TRUE)</f>
        <v>0.71499999999999997</v>
      </c>
      <c r="F119">
        <f t="shared" si="4"/>
        <v>-2.083333333333335E-3</v>
      </c>
      <c r="G119">
        <v>-2.4222120073365268E-3</v>
      </c>
      <c r="H119" s="37"/>
      <c r="I119">
        <v>0</v>
      </c>
      <c r="J119" s="38">
        <f>-VLOOKUP($C119,Profile!$B$5:$K$29,3,TRUE)*($G119+$I119)</f>
        <v>0.16955484051355688</v>
      </c>
      <c r="K119" s="37"/>
      <c r="O119">
        <v>0</v>
      </c>
      <c r="P119" s="38">
        <f>VLOOKUP($C119,Profile!$B$5:$K$29,5,TRUE)*$O119</f>
        <v>0</v>
      </c>
      <c r="Q119">
        <f t="shared" si="6"/>
        <v>99.898929699478202</v>
      </c>
    </row>
    <row r="120" spans="1:17" x14ac:dyDescent="0.25">
      <c r="A120" s="1">
        <v>0.23958333333396201</v>
      </c>
      <c r="B120">
        <f t="shared" si="5"/>
        <v>585</v>
      </c>
      <c r="C120">
        <f t="shared" si="3"/>
        <v>345</v>
      </c>
      <c r="D120">
        <f>VLOOKUP($C120,Profile!$B$5:$K$29,2,TRUE)</f>
        <v>0.74</v>
      </c>
      <c r="E120" s="37">
        <f>VLOOKUP($C120,Profile!$B$5:$K$29,7,TRUE)</f>
        <v>0.71499999999999997</v>
      </c>
      <c r="F120">
        <f t="shared" si="4"/>
        <v>-2.083333333333335E-3</v>
      </c>
      <c r="G120">
        <v>-2.5561442842344209E-3</v>
      </c>
      <c r="H120" s="37"/>
      <c r="I120">
        <v>0</v>
      </c>
      <c r="J120" s="38">
        <f>-VLOOKUP($C120,Profile!$B$5:$K$29,3,TRUE)*($G120+$I120)</f>
        <v>0.17893009989640946</v>
      </c>
      <c r="K120" s="37"/>
      <c r="O120">
        <v>0</v>
      </c>
      <c r="P120" s="38">
        <f>VLOOKUP($C120,Profile!$B$5:$K$29,5,TRUE)*$O120</f>
        <v>0</v>
      </c>
      <c r="Q120">
        <f t="shared" si="6"/>
        <v>100.07785979937461</v>
      </c>
    </row>
    <row r="121" spans="1:17" x14ac:dyDescent="0.25">
      <c r="A121" s="1">
        <v>0.243055555556182</v>
      </c>
      <c r="B121">
        <f t="shared" si="5"/>
        <v>590</v>
      </c>
      <c r="C121">
        <f t="shared" si="3"/>
        <v>350</v>
      </c>
      <c r="D121">
        <f>VLOOKUP($C121,Profile!$B$5:$K$29,2,TRUE)</f>
        <v>0.74</v>
      </c>
      <c r="E121" s="37">
        <f>VLOOKUP($C121,Profile!$B$5:$K$29,7,TRUE)</f>
        <v>0.71499999999999997</v>
      </c>
      <c r="F121">
        <f t="shared" si="4"/>
        <v>-2.083333333333335E-3</v>
      </c>
      <c r="G121">
        <v>-2.6738989516008425E-3</v>
      </c>
      <c r="H121" s="37"/>
      <c r="I121">
        <v>0</v>
      </c>
      <c r="J121" s="38">
        <f>-VLOOKUP($C121,Profile!$B$5:$K$29,3,TRUE)*($G121+$I121)</f>
        <v>0.18717292661205898</v>
      </c>
      <c r="K121" s="37"/>
      <c r="O121">
        <v>0</v>
      </c>
      <c r="P121" s="38">
        <f>VLOOKUP($C121,Profile!$B$5:$K$29,5,TRUE)*$O121</f>
        <v>0</v>
      </c>
      <c r="Q121">
        <f t="shared" si="6"/>
        <v>100.26503272598667</v>
      </c>
    </row>
    <row r="122" spans="1:17" x14ac:dyDescent="0.25">
      <c r="A122" s="1">
        <v>0.24652777777840201</v>
      </c>
      <c r="B122">
        <f t="shared" si="5"/>
        <v>595</v>
      </c>
      <c r="C122">
        <f t="shared" si="3"/>
        <v>355</v>
      </c>
      <c r="D122">
        <f>VLOOKUP($C122,Profile!$B$5:$K$29,2,TRUE)</f>
        <v>0.74</v>
      </c>
      <c r="E122" s="37">
        <f>VLOOKUP($C122,Profile!$B$5:$K$29,7,TRUE)</f>
        <v>0.71499999999999997</v>
      </c>
      <c r="F122">
        <f t="shared" si="4"/>
        <v>-2.083333333333335E-3</v>
      </c>
      <c r="G122">
        <v>-2.7765073871134516E-3</v>
      </c>
      <c r="H122" s="37"/>
      <c r="I122">
        <v>0</v>
      </c>
      <c r="J122" s="38">
        <f>-VLOOKUP($C122,Profile!$B$5:$K$29,3,TRUE)*($G122+$I122)</f>
        <v>0.1943555170979416</v>
      </c>
      <c r="K122" s="37"/>
      <c r="O122">
        <v>0</v>
      </c>
      <c r="P122" s="38">
        <f>VLOOKUP($C122,Profile!$B$5:$K$29,5,TRUE)*$O122</f>
        <v>0</v>
      </c>
      <c r="Q122">
        <f t="shared" si="6"/>
        <v>100.45938824308462</v>
      </c>
    </row>
    <row r="123" spans="1:17" x14ac:dyDescent="0.25">
      <c r="A123" s="1">
        <v>0.250000000000622</v>
      </c>
      <c r="B123">
        <f t="shared" si="5"/>
        <v>600</v>
      </c>
      <c r="C123">
        <f t="shared" si="3"/>
        <v>360</v>
      </c>
      <c r="D123">
        <f>VLOOKUP($C123,Profile!$B$5:$K$29,2,TRUE)</f>
        <v>0.67</v>
      </c>
      <c r="E123" s="37">
        <f>VLOOKUP($C123,Profile!$B$5:$K$29,7,TRUE)</f>
        <v>0.71499999999999997</v>
      </c>
      <c r="F123">
        <f t="shared" si="4"/>
        <v>3.7499999999999942E-3</v>
      </c>
      <c r="G123">
        <v>-2.8649471750089891E-3</v>
      </c>
      <c r="H123" s="37"/>
      <c r="I123">
        <v>0</v>
      </c>
      <c r="J123" s="38">
        <f>-VLOOKUP($C123,Profile!$B$5:$K$29,3,TRUE)*($G123+$I123)</f>
        <v>0.20054630225062925</v>
      </c>
      <c r="K123" s="37"/>
      <c r="O123">
        <v>0</v>
      </c>
      <c r="P123" s="38">
        <f>VLOOKUP($C123,Profile!$B$5:$K$29,5,TRUE)*$O123</f>
        <v>0</v>
      </c>
      <c r="Q123">
        <f t="shared" si="6"/>
        <v>100.65993454533525</v>
      </c>
    </row>
    <row r="124" spans="1:17" x14ac:dyDescent="0.25">
      <c r="A124" s="1">
        <v>0.25347222222284199</v>
      </c>
      <c r="B124">
        <f t="shared" si="5"/>
        <v>605</v>
      </c>
      <c r="C124">
        <f t="shared" si="3"/>
        <v>365</v>
      </c>
      <c r="D124">
        <f>VLOOKUP($C124,Profile!$B$5:$K$29,2,TRUE)</f>
        <v>0.67</v>
      </c>
      <c r="E124" s="37">
        <f>VLOOKUP($C124,Profile!$B$5:$K$29,7,TRUE)</f>
        <v>0.71499999999999997</v>
      </c>
      <c r="F124">
        <f t="shared" si="4"/>
        <v>3.7499999999999942E-3</v>
      </c>
      <c r="G124">
        <v>-2.9100804590262912E-3</v>
      </c>
      <c r="H124" s="37"/>
      <c r="I124">
        <v>0</v>
      </c>
      <c r="J124" s="38">
        <f>-VLOOKUP($C124,Profile!$B$5:$K$29,3,TRUE)*($G124+$I124)</f>
        <v>0.20370563213184037</v>
      </c>
      <c r="K124" s="37"/>
      <c r="O124">
        <v>0</v>
      </c>
      <c r="P124" s="38">
        <f>VLOOKUP($C124,Profile!$B$5:$K$29,5,TRUE)*$O124</f>
        <v>0</v>
      </c>
      <c r="Q124">
        <f t="shared" si="6"/>
        <v>100.86364017746709</v>
      </c>
    </row>
    <row r="125" spans="1:17" x14ac:dyDescent="0.25">
      <c r="A125" s="1">
        <v>0.25694444444506198</v>
      </c>
      <c r="B125">
        <f t="shared" si="5"/>
        <v>610</v>
      </c>
      <c r="C125">
        <f t="shared" si="3"/>
        <v>370</v>
      </c>
      <c r="D125">
        <f>VLOOKUP($C125,Profile!$B$5:$K$29,2,TRUE)</f>
        <v>0.67</v>
      </c>
      <c r="E125" s="37">
        <f>VLOOKUP($C125,Profile!$B$5:$K$29,7,TRUE)</f>
        <v>0.71499999999999997</v>
      </c>
      <c r="F125">
        <f t="shared" si="4"/>
        <v>3.7499999999999942E-3</v>
      </c>
      <c r="G125">
        <v>-2.9163160181292901E-3</v>
      </c>
      <c r="H125" s="37"/>
      <c r="I125">
        <v>0</v>
      </c>
      <c r="J125" s="38">
        <f>-VLOOKUP($C125,Profile!$B$5:$K$29,3,TRUE)*($G125+$I125)</f>
        <v>0.20414212126905032</v>
      </c>
      <c r="K125" s="37"/>
      <c r="O125">
        <v>0</v>
      </c>
      <c r="P125" s="38">
        <f>VLOOKUP($C125,Profile!$B$5:$K$29,5,TRUE)*$O125</f>
        <v>0</v>
      </c>
      <c r="Q125">
        <f t="shared" si="6"/>
        <v>101.06778229873613</v>
      </c>
    </row>
    <row r="126" spans="1:17" x14ac:dyDescent="0.25">
      <c r="A126" s="1">
        <v>0.26041666666728203</v>
      </c>
      <c r="B126">
        <f t="shared" si="5"/>
        <v>615</v>
      </c>
      <c r="C126">
        <f t="shared" si="3"/>
        <v>375</v>
      </c>
      <c r="D126">
        <f>VLOOKUP($C126,Profile!$B$5:$K$29,2,TRUE)</f>
        <v>0.67</v>
      </c>
      <c r="E126" s="37">
        <f>VLOOKUP($C126,Profile!$B$5:$K$29,7,TRUE)</f>
        <v>0.71499999999999997</v>
      </c>
      <c r="F126">
        <f t="shared" si="4"/>
        <v>3.7499999999999942E-3</v>
      </c>
      <c r="G126">
        <v>-2.887725915891118E-3</v>
      </c>
      <c r="H126" s="37"/>
      <c r="I126">
        <v>0</v>
      </c>
      <c r="J126" s="38">
        <f>-VLOOKUP($C126,Profile!$B$5:$K$29,3,TRUE)*($G126+$I126)</f>
        <v>0.20214081411237825</v>
      </c>
      <c r="K126" s="37"/>
      <c r="O126">
        <v>0</v>
      </c>
      <c r="P126" s="38">
        <f>VLOOKUP($C126,Profile!$B$5:$K$29,5,TRUE)*$O126</f>
        <v>0</v>
      </c>
      <c r="Q126">
        <f t="shared" si="6"/>
        <v>101.26992311284852</v>
      </c>
    </row>
    <row r="127" spans="1:17" x14ac:dyDescent="0.25">
      <c r="A127" s="1">
        <v>0.26388888888950202</v>
      </c>
      <c r="B127">
        <f t="shared" si="5"/>
        <v>620</v>
      </c>
      <c r="C127">
        <f t="shared" si="3"/>
        <v>380</v>
      </c>
      <c r="D127">
        <f>VLOOKUP($C127,Profile!$B$5:$K$29,2,TRUE)</f>
        <v>0.67</v>
      </c>
      <c r="E127" s="37">
        <f>VLOOKUP($C127,Profile!$B$5:$K$29,7,TRUE)</f>
        <v>0.71499999999999997</v>
      </c>
      <c r="F127">
        <f t="shared" si="4"/>
        <v>3.7499999999999942E-3</v>
      </c>
      <c r="G127">
        <v>-2.8280679759671149E-3</v>
      </c>
      <c r="H127" s="37"/>
      <c r="I127">
        <v>0</v>
      </c>
      <c r="J127" s="38">
        <f>-VLOOKUP($C127,Profile!$B$5:$K$29,3,TRUE)*($G127+$I127)</f>
        <v>0.19796475831769805</v>
      </c>
      <c r="K127" s="37"/>
      <c r="O127">
        <v>0</v>
      </c>
      <c r="P127" s="38">
        <f>VLOOKUP($C127,Profile!$B$5:$K$29,5,TRUE)*$O127</f>
        <v>0</v>
      </c>
      <c r="Q127">
        <f t="shared" si="6"/>
        <v>101.46788787116621</v>
      </c>
    </row>
    <row r="128" spans="1:17" x14ac:dyDescent="0.25">
      <c r="A128" s="1">
        <v>0.26736111111172101</v>
      </c>
      <c r="B128">
        <f t="shared" si="5"/>
        <v>625</v>
      </c>
      <c r="C128">
        <f t="shared" si="3"/>
        <v>385</v>
      </c>
      <c r="D128">
        <f>VLOOKUP($C128,Profile!$B$5:$K$29,2,TRUE)</f>
        <v>0.67</v>
      </c>
      <c r="E128" s="37">
        <f>VLOOKUP($C128,Profile!$B$5:$K$29,7,TRUE)</f>
        <v>0.71499999999999997</v>
      </c>
      <c r="F128">
        <f t="shared" si="4"/>
        <v>3.7499999999999942E-3</v>
      </c>
      <c r="G128">
        <v>-2.7408068732001772E-3</v>
      </c>
      <c r="H128" s="37"/>
      <c r="I128">
        <v>0</v>
      </c>
      <c r="J128" s="38">
        <f>-VLOOKUP($C128,Profile!$B$5:$K$29,3,TRUE)*($G128+$I128)</f>
        <v>0.19185648112401241</v>
      </c>
      <c r="K128" s="37"/>
      <c r="O128">
        <v>0</v>
      </c>
      <c r="P128" s="38">
        <f>VLOOKUP($C128,Profile!$B$5:$K$29,5,TRUE)*$O128</f>
        <v>0</v>
      </c>
      <c r="Q128">
        <f t="shared" si="6"/>
        <v>101.65974435229022</v>
      </c>
    </row>
    <row r="129" spans="1:17" x14ac:dyDescent="0.25">
      <c r="A129" s="1">
        <v>0.270833333333941</v>
      </c>
      <c r="B129">
        <f t="shared" si="5"/>
        <v>630</v>
      </c>
      <c r="C129">
        <f t="shared" si="3"/>
        <v>390</v>
      </c>
      <c r="D129">
        <f>VLOOKUP($C129,Profile!$B$5:$K$29,2,TRUE)</f>
        <v>0.67</v>
      </c>
      <c r="E129" s="37">
        <f>VLOOKUP($C129,Profile!$B$5:$K$29,7,TRUE)</f>
        <v>0.71499999999999997</v>
      </c>
      <c r="F129">
        <f t="shared" si="4"/>
        <v>3.7499999999999942E-3</v>
      </c>
      <c r="G129">
        <v>-2.6291339211410485E-3</v>
      </c>
      <c r="H129" s="37"/>
      <c r="I129">
        <v>0</v>
      </c>
      <c r="J129" s="38">
        <f>-VLOOKUP($C129,Profile!$B$5:$K$29,3,TRUE)*($G129+$I129)</f>
        <v>0.1840393744798734</v>
      </c>
      <c r="K129" s="37"/>
      <c r="O129">
        <v>0</v>
      </c>
      <c r="P129" s="38">
        <f>VLOOKUP($C129,Profile!$B$5:$K$29,5,TRUE)*$O129</f>
        <v>0</v>
      </c>
      <c r="Q129">
        <f t="shared" si="6"/>
        <v>101.8437837267701</v>
      </c>
    </row>
    <row r="130" spans="1:17" x14ac:dyDescent="0.25">
      <c r="A130" s="1">
        <v>0.27430555555616098</v>
      </c>
      <c r="B130">
        <f t="shared" si="5"/>
        <v>635</v>
      </c>
      <c r="C130">
        <f t="shared" si="3"/>
        <v>395</v>
      </c>
      <c r="D130">
        <f>VLOOKUP($C130,Profile!$B$5:$K$29,2,TRUE)</f>
        <v>0.67</v>
      </c>
      <c r="E130" s="37">
        <f>VLOOKUP($C130,Profile!$B$5:$K$29,7,TRUE)</f>
        <v>0.71499999999999997</v>
      </c>
      <c r="F130">
        <f t="shared" si="4"/>
        <v>3.7499999999999942E-3</v>
      </c>
      <c r="G130">
        <v>-2.4959856322330073E-3</v>
      </c>
      <c r="H130" s="37"/>
      <c r="I130">
        <v>0</v>
      </c>
      <c r="J130" s="38">
        <f>-VLOOKUP($C130,Profile!$B$5:$K$29,3,TRUE)*($G130+$I130)</f>
        <v>0.17471899425631052</v>
      </c>
      <c r="K130" s="37"/>
      <c r="O130">
        <v>0</v>
      </c>
      <c r="P130" s="38">
        <f>VLOOKUP($C130,Profile!$B$5:$K$29,5,TRUE)*$O130</f>
        <v>0</v>
      </c>
      <c r="Q130">
        <f t="shared" si="6"/>
        <v>102.01850272102641</v>
      </c>
    </row>
    <row r="131" spans="1:17" x14ac:dyDescent="0.25">
      <c r="A131" s="1">
        <v>0.27777777777838097</v>
      </c>
      <c r="B131">
        <f t="shared" si="5"/>
        <v>640</v>
      </c>
      <c r="C131">
        <f t="shared" ref="C131:C194" si="7">MOD(INT(A131/Minute),1440)</f>
        <v>400</v>
      </c>
      <c r="D131">
        <f>VLOOKUP($C131,Profile!$B$5:$K$29,2,TRUE)</f>
        <v>0.67</v>
      </c>
      <c r="E131" s="37">
        <f>VLOOKUP($C131,Profile!$B$5:$K$29,7,TRUE)</f>
        <v>0.71499999999999997</v>
      </c>
      <c r="F131">
        <f t="shared" si="4"/>
        <v>3.7499999999999942E-3</v>
      </c>
      <c r="G131">
        <v>-2.3440611226241215E-3</v>
      </c>
      <c r="H131" s="37"/>
      <c r="I131">
        <v>0</v>
      </c>
      <c r="J131" s="38">
        <f>-VLOOKUP($C131,Profile!$B$5:$K$29,3,TRUE)*($G131+$I131)</f>
        <v>0.16408427858368851</v>
      </c>
      <c r="K131" s="37"/>
      <c r="O131">
        <v>0</v>
      </c>
      <c r="P131" s="38">
        <f>VLOOKUP($C131,Profile!$B$5:$K$29,5,TRUE)*$O131</f>
        <v>0</v>
      </c>
      <c r="Q131">
        <f t="shared" si="6"/>
        <v>102.18258699961009</v>
      </c>
    </row>
    <row r="132" spans="1:17" x14ac:dyDescent="0.25">
      <c r="A132" s="1">
        <v>0.28125000000060102</v>
      </c>
      <c r="B132">
        <f t="shared" si="5"/>
        <v>645</v>
      </c>
      <c r="C132">
        <f t="shared" si="7"/>
        <v>405</v>
      </c>
      <c r="D132">
        <f>VLOOKUP($C132,Profile!$B$5:$K$29,2,TRUE)</f>
        <v>0.67</v>
      </c>
      <c r="E132" s="37">
        <f>VLOOKUP($C132,Profile!$B$5:$K$29,7,TRUE)</f>
        <v>0.71499999999999997</v>
      </c>
      <c r="F132">
        <f t="shared" ref="F132:F195" si="8">+(E132-D132)/12</f>
        <v>3.7499999999999942E-3</v>
      </c>
      <c r="G132">
        <v>-2.1758384295177814E-3</v>
      </c>
      <c r="H132" s="37"/>
      <c r="I132">
        <v>0</v>
      </c>
      <c r="J132" s="38">
        <f>-VLOOKUP($C132,Profile!$B$5:$K$29,3,TRUE)*($G132+$I132)</f>
        <v>0.1523086900662447</v>
      </c>
      <c r="K132" s="37"/>
      <c r="O132">
        <v>0</v>
      </c>
      <c r="P132" s="38">
        <f>VLOOKUP($C132,Profile!$B$5:$K$29,5,TRUE)*$O132</f>
        <v>0</v>
      </c>
      <c r="Q132">
        <f t="shared" si="6"/>
        <v>102.33489568967634</v>
      </c>
    </row>
    <row r="133" spans="1:17" x14ac:dyDescent="0.25">
      <c r="A133" s="1">
        <v>0.28472222222282101</v>
      </c>
      <c r="B133">
        <f t="shared" ref="B133:B196" si="9">+B132+5</f>
        <v>650</v>
      </c>
      <c r="C133">
        <f t="shared" si="7"/>
        <v>410</v>
      </c>
      <c r="D133">
        <f>VLOOKUP($C133,Profile!$B$5:$K$29,2,TRUE)</f>
        <v>0.67</v>
      </c>
      <c r="E133" s="37">
        <f>VLOOKUP($C133,Profile!$B$5:$K$29,7,TRUE)</f>
        <v>0.71499999999999997</v>
      </c>
      <c r="F133">
        <f t="shared" si="8"/>
        <v>3.7499999999999942E-3</v>
      </c>
      <c r="G133">
        <v>-1.9935898051411279E-3</v>
      </c>
      <c r="H133" s="37"/>
      <c r="I133">
        <v>0</v>
      </c>
      <c r="J133" s="38">
        <f>-VLOOKUP($C133,Profile!$B$5:$K$29,3,TRUE)*($G133+$I133)</f>
        <v>0.13955128635987896</v>
      </c>
      <c r="K133" s="37"/>
      <c r="O133">
        <v>0</v>
      </c>
      <c r="P133" s="38">
        <f>VLOOKUP($C133,Profile!$B$5:$K$29,5,TRUE)*$O133</f>
        <v>0</v>
      </c>
      <c r="Q133">
        <f t="shared" si="6"/>
        <v>102.47444697603622</v>
      </c>
    </row>
    <row r="134" spans="1:17" x14ac:dyDescent="0.25">
      <c r="A134" s="1">
        <v>0.288194444445041</v>
      </c>
      <c r="B134">
        <f t="shared" si="9"/>
        <v>655</v>
      </c>
      <c r="C134">
        <f t="shared" si="7"/>
        <v>415</v>
      </c>
      <c r="D134">
        <f>VLOOKUP($C134,Profile!$B$5:$K$29,2,TRUE)</f>
        <v>0.67</v>
      </c>
      <c r="E134" s="37">
        <f>VLOOKUP($C134,Profile!$B$5:$K$29,7,TRUE)</f>
        <v>0.71499999999999997</v>
      </c>
      <c r="F134">
        <f t="shared" si="8"/>
        <v>3.7499999999999942E-3</v>
      </c>
      <c r="G134">
        <v>-1.7993960477894087E-3</v>
      </c>
      <c r="H134" s="37"/>
      <c r="I134">
        <v>0</v>
      </c>
      <c r="J134" s="38">
        <f>-VLOOKUP($C134,Profile!$B$5:$K$29,3,TRUE)*($G134+$I134)</f>
        <v>0.12595772334525862</v>
      </c>
      <c r="K134" s="37"/>
      <c r="O134">
        <v>0</v>
      </c>
      <c r="P134" s="38">
        <f>VLOOKUP($C134,Profile!$B$5:$K$29,5,TRUE)*$O134</f>
        <v>0</v>
      </c>
      <c r="Q134">
        <f t="shared" si="6"/>
        <v>102.60040469938147</v>
      </c>
    </row>
    <row r="135" spans="1:17" x14ac:dyDescent="0.25">
      <c r="A135" s="1">
        <v>0.29166666666726099</v>
      </c>
      <c r="B135">
        <f t="shared" si="9"/>
        <v>660</v>
      </c>
      <c r="C135">
        <f t="shared" si="7"/>
        <v>420</v>
      </c>
      <c r="D135">
        <f>VLOOKUP($C135,Profile!$B$5:$K$29,2,TRUE)</f>
        <v>0.73</v>
      </c>
      <c r="E135" s="37">
        <f>VLOOKUP($C135,Profile!$B$5:$K$29,7,TRUE)</f>
        <v>0.71499999999999997</v>
      </c>
      <c r="F135">
        <f t="shared" si="8"/>
        <v>-1.2500000000000011E-3</v>
      </c>
      <c r="G135">
        <v>-1.5951599269810679E-3</v>
      </c>
      <c r="H135" s="37">
        <v>9.5</v>
      </c>
      <c r="I135">
        <v>0</v>
      </c>
      <c r="J135" s="38">
        <f>-VLOOKUP($C135,Profile!$B$5:$K$29,3,TRUE)*($G135+$I135)</f>
        <v>0.11166119488867475</v>
      </c>
      <c r="K135" s="37">
        <v>60</v>
      </c>
      <c r="O135">
        <v>0</v>
      </c>
      <c r="P135" s="38">
        <f>VLOOKUP($C135,Profile!$B$5:$K$29,5,TRUE)*$O135</f>
        <v>0</v>
      </c>
      <c r="Q135">
        <f t="shared" si="6"/>
        <v>102.71206589427014</v>
      </c>
    </row>
    <row r="136" spans="1:17" x14ac:dyDescent="0.25">
      <c r="A136" s="1">
        <v>0.29513888888948098</v>
      </c>
      <c r="B136">
        <f t="shared" si="9"/>
        <v>665</v>
      </c>
      <c r="C136">
        <f t="shared" si="7"/>
        <v>425</v>
      </c>
      <c r="D136">
        <f>VLOOKUP($C136,Profile!$B$5:$K$29,2,TRUE)</f>
        <v>0.73</v>
      </c>
      <c r="E136" s="37">
        <f>VLOOKUP($C136,Profile!$B$5:$K$29,7,TRUE)</f>
        <v>0.71499999999999997</v>
      </c>
      <c r="F136">
        <f t="shared" si="8"/>
        <v>-1.2500000000000011E-3</v>
      </c>
      <c r="G136">
        <v>-1.4106115681306326E-3</v>
      </c>
      <c r="H136" s="37"/>
      <c r="I136">
        <v>4.7499197971872929E-2</v>
      </c>
      <c r="J136" s="38">
        <f>-VLOOKUP($C136,Profile!$B$5:$K$29,3,TRUE)*($G136+$I136)</f>
        <v>-3.2262010482619607</v>
      </c>
      <c r="K136" s="37"/>
      <c r="O136">
        <v>0.4615984190933059</v>
      </c>
      <c r="P136" s="38">
        <f>VLOOKUP($C136,Profile!$B$5:$K$29,5,TRUE)*$O136</f>
        <v>5.3853148894219016</v>
      </c>
      <c r="Q136">
        <f t="shared" si="6"/>
        <v>104.87117973543009</v>
      </c>
    </row>
    <row r="137" spans="1:17" x14ac:dyDescent="0.25">
      <c r="A137" s="1">
        <v>0.29861111111170002</v>
      </c>
      <c r="B137">
        <f t="shared" si="9"/>
        <v>670</v>
      </c>
      <c r="C137">
        <f t="shared" si="7"/>
        <v>430</v>
      </c>
      <c r="D137">
        <f>VLOOKUP($C137,Profile!$B$5:$K$29,2,TRUE)</f>
        <v>0.73</v>
      </c>
      <c r="E137" s="37">
        <f>VLOOKUP($C137,Profile!$B$5:$K$29,7,TRUE)</f>
        <v>0.71499999999999997</v>
      </c>
      <c r="F137">
        <f t="shared" si="8"/>
        <v>-1.2500000000000011E-3</v>
      </c>
      <c r="G137">
        <v>-1.2441841041214252E-3</v>
      </c>
      <c r="H137" s="37"/>
      <c r="I137">
        <v>8.9328548500934413E-2</v>
      </c>
      <c r="J137" s="38">
        <f>-VLOOKUP($C137,Profile!$B$5:$K$29,3,TRUE)*($G137+$I137)</f>
        <v>-6.1659055077769089</v>
      </c>
      <c r="K137" s="37"/>
      <c r="O137">
        <v>0.85472579519959524</v>
      </c>
      <c r="P137" s="38">
        <f>VLOOKUP($C137,Profile!$B$5:$K$29,5,TRUE)*$O137</f>
        <v>9.9718009439952766</v>
      </c>
      <c r="Q137">
        <f t="shared" si="6"/>
        <v>108.67707517164845</v>
      </c>
    </row>
    <row r="138" spans="1:17" x14ac:dyDescent="0.25">
      <c r="A138" s="1">
        <v>0.30208333333392001</v>
      </c>
      <c r="B138">
        <f t="shared" si="9"/>
        <v>675</v>
      </c>
      <c r="C138">
        <f t="shared" si="7"/>
        <v>435</v>
      </c>
      <c r="D138">
        <f>VLOOKUP($C138,Profile!$B$5:$K$29,2,TRUE)</f>
        <v>0.73</v>
      </c>
      <c r="E138" s="37">
        <f>VLOOKUP($C138,Profile!$B$5:$K$29,7,TRUE)</f>
        <v>0.71499999999999997</v>
      </c>
      <c r="F138">
        <f t="shared" si="8"/>
        <v>-1.2500000000000011E-3</v>
      </c>
      <c r="G138">
        <v>-1.0944201719932484E-3</v>
      </c>
      <c r="H138" s="37"/>
      <c r="I138">
        <v>0.12595819293671504</v>
      </c>
      <c r="J138" s="38">
        <f>-VLOOKUP($C138,Profile!$B$5:$K$29,3,TRUE)*($G138+$I138)</f>
        <v>-8.7404640935305249</v>
      </c>
      <c r="K138" s="37"/>
      <c r="O138">
        <v>1.1864386359116244</v>
      </c>
      <c r="P138" s="38">
        <f>VLOOKUP($C138,Profile!$B$5:$K$29,5,TRUE)*$O138</f>
        <v>13.841784085635616</v>
      </c>
      <c r="Q138">
        <f t="shared" si="6"/>
        <v>113.77839516375354</v>
      </c>
    </row>
    <row r="139" spans="1:17" x14ac:dyDescent="0.25">
      <c r="A139" s="1">
        <v>0.30555555555614</v>
      </c>
      <c r="B139">
        <f t="shared" si="9"/>
        <v>680</v>
      </c>
      <c r="C139">
        <f t="shared" si="7"/>
        <v>440</v>
      </c>
      <c r="D139">
        <f>VLOOKUP($C139,Profile!$B$5:$K$29,2,TRUE)</f>
        <v>0.73</v>
      </c>
      <c r="E139" s="37">
        <f>VLOOKUP($C139,Profile!$B$5:$K$29,7,TRUE)</f>
        <v>0.71499999999999997</v>
      </c>
      <c r="F139">
        <f t="shared" si="8"/>
        <v>-1.2500000000000011E-3</v>
      </c>
      <c r="G139">
        <v>-9.5996489770852958E-4</v>
      </c>
      <c r="H139" s="37"/>
      <c r="I139">
        <v>0.15782520145706005</v>
      </c>
      <c r="J139" s="38">
        <f>-VLOOKUP($C139,Profile!$B$5:$K$29,3,TRUE)*($G139+$I139)</f>
        <v>-10.980566559154607</v>
      </c>
      <c r="K139" s="37"/>
      <c r="O139">
        <v>1.4631764718330906</v>
      </c>
      <c r="P139" s="38">
        <f>VLOOKUP($C139,Profile!$B$5:$K$29,5,TRUE)*$O139</f>
        <v>17.070392171386057</v>
      </c>
      <c r="Q139">
        <f t="shared" si="6"/>
        <v>119.86822077598499</v>
      </c>
    </row>
    <row r="140" spans="1:17" x14ac:dyDescent="0.25">
      <c r="A140" s="1">
        <v>0.30902777777835999</v>
      </c>
      <c r="B140">
        <f t="shared" si="9"/>
        <v>685</v>
      </c>
      <c r="C140">
        <f t="shared" si="7"/>
        <v>445</v>
      </c>
      <c r="D140">
        <f>VLOOKUP($C140,Profile!$B$5:$K$29,2,TRUE)</f>
        <v>0.73</v>
      </c>
      <c r="E140" s="37">
        <f>VLOOKUP($C140,Profile!$B$5:$K$29,7,TRUE)</f>
        <v>0.71499999999999997</v>
      </c>
      <c r="F140">
        <f t="shared" si="8"/>
        <v>-1.2500000000000011E-3</v>
      </c>
      <c r="G140">
        <v>-8.3955930371291249E-4</v>
      </c>
      <c r="H140" s="37"/>
      <c r="I140">
        <v>0.1853356864321915</v>
      </c>
      <c r="J140" s="38">
        <f>-VLOOKUP($C140,Profile!$B$5:$K$29,3,TRUE)*($G140+$I140)</f>
        <v>-12.914728898993502</v>
      </c>
      <c r="K140" s="37"/>
      <c r="O140">
        <v>1.6908108648613789</v>
      </c>
      <c r="P140" s="38">
        <f>VLOOKUP($C140,Profile!$B$5:$K$29,5,TRUE)*$O140</f>
        <v>19.726126756716084</v>
      </c>
      <c r="Q140">
        <f t="shared" si="6"/>
        <v>126.67961863370758</v>
      </c>
    </row>
    <row r="141" spans="1:17" x14ac:dyDescent="0.25">
      <c r="A141" s="1">
        <v>0.31250000000057998</v>
      </c>
      <c r="B141">
        <f t="shared" si="9"/>
        <v>690</v>
      </c>
      <c r="C141">
        <f t="shared" si="7"/>
        <v>450</v>
      </c>
      <c r="D141">
        <f>VLOOKUP($C141,Profile!$B$5:$K$29,2,TRUE)</f>
        <v>0.73</v>
      </c>
      <c r="E141" s="37">
        <f>VLOOKUP($C141,Profile!$B$5:$K$29,7,TRUE)</f>
        <v>0.71499999999999997</v>
      </c>
      <c r="F141">
        <f t="shared" si="8"/>
        <v>-1.2500000000000011E-3</v>
      </c>
      <c r="G141">
        <v>-7.3203411492745536E-4</v>
      </c>
      <c r="H141" s="37"/>
      <c r="I141">
        <v>0.20886678904372452</v>
      </c>
      <c r="J141" s="38">
        <f>-VLOOKUP($C141,Profile!$B$5:$K$29,3,TRUE)*($G141+$I141)</f>
        <v>-14.569432845015795</v>
      </c>
      <c r="K141" s="37"/>
      <c r="O141">
        <v>1.8746907629395662</v>
      </c>
      <c r="P141" s="38">
        <f>VLOOKUP($C141,Profile!$B$5:$K$29,5,TRUE)*$O141</f>
        <v>21.871392234294937</v>
      </c>
      <c r="Q141">
        <f t="shared" si="6"/>
        <v>133.98157802298672</v>
      </c>
    </row>
    <row r="142" spans="1:17" x14ac:dyDescent="0.25">
      <c r="A142" s="1">
        <v>0.31597222222280003</v>
      </c>
      <c r="B142">
        <f t="shared" si="9"/>
        <v>695</v>
      </c>
      <c r="C142">
        <f t="shared" si="7"/>
        <v>455</v>
      </c>
      <c r="D142">
        <f>VLOOKUP($C142,Profile!$B$5:$K$29,2,TRUE)</f>
        <v>0.73</v>
      </c>
      <c r="E142" s="37">
        <f>VLOOKUP($C142,Profile!$B$5:$K$29,7,TRUE)</f>
        <v>0.71499999999999997</v>
      </c>
      <c r="F142">
        <f t="shared" si="8"/>
        <v>-1.2500000000000011E-3</v>
      </c>
      <c r="G142">
        <v>-6.3630394016621144E-4</v>
      </c>
      <c r="H142" s="37"/>
      <c r="I142">
        <v>0.22876854642353894</v>
      </c>
      <c r="J142" s="38">
        <f>-VLOOKUP($C142,Profile!$B$5:$K$29,3,TRUE)*($G142+$I142)</f>
        <v>-15.969256973836092</v>
      </c>
      <c r="K142" s="37"/>
      <c r="O142">
        <v>2.0196844615962215</v>
      </c>
      <c r="P142" s="38">
        <f>VLOOKUP($C142,Profile!$B$5:$K$29,5,TRUE)*$O142</f>
        <v>23.562985385289249</v>
      </c>
      <c r="Q142">
        <f t="shared" si="6"/>
        <v>141.57530643443988</v>
      </c>
    </row>
    <row r="143" spans="1:17" x14ac:dyDescent="0.25">
      <c r="A143" s="1">
        <v>0.31944444444502001</v>
      </c>
      <c r="B143">
        <f t="shared" si="9"/>
        <v>700</v>
      </c>
      <c r="C143">
        <f t="shared" si="7"/>
        <v>460</v>
      </c>
      <c r="D143">
        <f>VLOOKUP($C143,Profile!$B$5:$K$29,2,TRUE)</f>
        <v>0.73</v>
      </c>
      <c r="E143" s="37">
        <f>VLOOKUP($C143,Profile!$B$5:$K$29,7,TRUE)</f>
        <v>0.71499999999999997</v>
      </c>
      <c r="F143">
        <f t="shared" si="8"/>
        <v>-1.2500000000000011E-3</v>
      </c>
      <c r="G143">
        <v>-5.5136180725605594E-4</v>
      </c>
      <c r="H143" s="37"/>
      <c r="I143">
        <v>0.24536564617489828</v>
      </c>
      <c r="J143" s="38">
        <f>-VLOOKUP($C143,Profile!$B$5:$K$29,3,TRUE)*($G143+$I143)</f>
        <v>-17.136999905734957</v>
      </c>
      <c r="K143" s="37"/>
      <c r="O143">
        <v>2.1302184146629224</v>
      </c>
      <c r="P143" s="38">
        <f>VLOOKUP($C143,Profile!$B$5:$K$29,5,TRUE)*$O143</f>
        <v>24.852548171067426</v>
      </c>
      <c r="Q143">
        <f t="shared" si="6"/>
        <v>149.29085469977235</v>
      </c>
    </row>
    <row r="144" spans="1:17" x14ac:dyDescent="0.25">
      <c r="A144" s="1">
        <v>0.32291666666724</v>
      </c>
      <c r="B144">
        <f t="shared" si="9"/>
        <v>705</v>
      </c>
      <c r="C144">
        <f t="shared" si="7"/>
        <v>465</v>
      </c>
      <c r="D144">
        <f>VLOOKUP($C144,Profile!$B$5:$K$29,2,TRUE)</f>
        <v>0.73</v>
      </c>
      <c r="E144" s="37">
        <f>VLOOKUP($C144,Profile!$B$5:$K$29,7,TRUE)</f>
        <v>0.71499999999999997</v>
      </c>
      <c r="F144">
        <f t="shared" si="8"/>
        <v>-1.2500000000000011E-3</v>
      </c>
      <c r="G144">
        <v>-4.7627403134907487E-4</v>
      </c>
      <c r="H144" s="37"/>
      <c r="I144">
        <v>0.25895907475742269</v>
      </c>
      <c r="J144" s="38">
        <f>-VLOOKUP($C144,Profile!$B$5:$K$29,3,TRUE)*($G144+$I144)</f>
        <v>-18.093796050825151</v>
      </c>
      <c r="K144" s="37"/>
      <c r="O144">
        <v>2.210313119833351</v>
      </c>
      <c r="P144" s="38">
        <f>VLOOKUP($C144,Profile!$B$5:$K$29,5,TRUE)*$O144</f>
        <v>25.78698639805576</v>
      </c>
      <c r="Q144">
        <f t="shared" si="6"/>
        <v>156.98404504700295</v>
      </c>
    </row>
    <row r="145" spans="1:17" x14ac:dyDescent="0.25">
      <c r="A145" s="1">
        <v>0.32638888888945899</v>
      </c>
      <c r="B145">
        <f t="shared" si="9"/>
        <v>710</v>
      </c>
      <c r="C145">
        <f t="shared" si="7"/>
        <v>470</v>
      </c>
      <c r="D145">
        <f>VLOOKUP($C145,Profile!$B$5:$K$29,2,TRUE)</f>
        <v>0.73</v>
      </c>
      <c r="E145" s="37">
        <f>VLOOKUP($C145,Profile!$B$5:$K$29,7,TRUE)</f>
        <v>0.71499999999999997</v>
      </c>
      <c r="F145">
        <f t="shared" si="8"/>
        <v>-1.2500000000000011E-3</v>
      </c>
      <c r="G145">
        <v>-4.1017539706534348E-4</v>
      </c>
      <c r="H145" s="37"/>
      <c r="I145">
        <v>0.2698276658573035</v>
      </c>
      <c r="J145" s="38">
        <f>-VLOOKUP($C145,Profile!$B$5:$K$29,3,TRUE)*($G145+$I145)</f>
        <v>-18.859224332216673</v>
      </c>
      <c r="K145" s="37"/>
      <c r="O145">
        <v>2.2636162891253009</v>
      </c>
      <c r="P145" s="38">
        <f>VLOOKUP($C145,Profile!$B$5:$K$29,5,TRUE)*$O145</f>
        <v>26.408856706461844</v>
      </c>
      <c r="Q145">
        <f t="shared" si="6"/>
        <v>164.53367742124811</v>
      </c>
    </row>
    <row r="146" spans="1:17" x14ac:dyDescent="0.25">
      <c r="A146" s="1">
        <v>0.32986111111167898</v>
      </c>
      <c r="B146">
        <f t="shared" si="9"/>
        <v>715</v>
      </c>
      <c r="C146">
        <f t="shared" si="7"/>
        <v>475</v>
      </c>
      <c r="D146">
        <f>VLOOKUP($C146,Profile!$B$5:$K$29,2,TRUE)</f>
        <v>0.73</v>
      </c>
      <c r="E146" s="37">
        <f>VLOOKUP($C146,Profile!$B$5:$K$29,7,TRUE)</f>
        <v>0.71499999999999997</v>
      </c>
      <c r="F146">
        <f t="shared" si="8"/>
        <v>-1.2500000000000011E-3</v>
      </c>
      <c r="G146">
        <v>-3.5226463618900737E-4</v>
      </c>
      <c r="H146" s="37"/>
      <c r="I146">
        <v>0.2782295545234128</v>
      </c>
      <c r="J146" s="38">
        <f>-VLOOKUP($C146,Profile!$B$5:$K$29,3,TRUE)*($G146+$I146)</f>
        <v>-19.451410292105667</v>
      </c>
      <c r="K146" s="37"/>
      <c r="O146">
        <v>2.2934334997540975</v>
      </c>
      <c r="P146" s="38">
        <f>VLOOKUP($C146,Profile!$B$5:$K$29,5,TRUE)*$O146</f>
        <v>26.756724163797802</v>
      </c>
      <c r="Q146">
        <f t="shared" si="6"/>
        <v>171.83899129294025</v>
      </c>
    </row>
    <row r="147" spans="1:17" x14ac:dyDescent="0.25">
      <c r="A147" s="1">
        <v>0.33333333333389897</v>
      </c>
      <c r="B147">
        <f t="shared" si="9"/>
        <v>720</v>
      </c>
      <c r="C147">
        <f t="shared" si="7"/>
        <v>480</v>
      </c>
      <c r="D147">
        <f>VLOOKUP($C147,Profile!$B$5:$K$29,2,TRUE)</f>
        <v>0.72</v>
      </c>
      <c r="E147" s="37">
        <f>VLOOKUP($C147,Profile!$B$5:$K$29,7,TRUE)</f>
        <v>0.71499999999999997</v>
      </c>
      <c r="F147">
        <f t="shared" si="8"/>
        <v>-4.1666666666666702E-4</v>
      </c>
      <c r="G147">
        <v>-3.0180018366654488E-4</v>
      </c>
      <c r="H147" s="37"/>
      <c r="I147">
        <v>0.28440354252767924</v>
      </c>
      <c r="J147" s="38">
        <f>-VLOOKUP($C147,Profile!$B$5:$K$29,3,TRUE)*($G147+$I147)</f>
        <v>-19.88712196408089</v>
      </c>
      <c r="K147" s="37"/>
      <c r="O147">
        <v>2.3027565073537102</v>
      </c>
      <c r="P147" s="38">
        <f>VLOOKUP($C147,Profile!$B$5:$K$29,5,TRUE)*$O147</f>
        <v>26.865492585793284</v>
      </c>
      <c r="Q147">
        <f t="shared" si="6"/>
        <v>178.81736191465262</v>
      </c>
    </row>
    <row r="148" spans="1:17" x14ac:dyDescent="0.25">
      <c r="A148" s="1">
        <v>0.33680555555611902</v>
      </c>
      <c r="B148">
        <f t="shared" si="9"/>
        <v>725</v>
      </c>
      <c r="C148">
        <f t="shared" si="7"/>
        <v>485</v>
      </c>
      <c r="D148">
        <f>VLOOKUP($C148,Profile!$B$5:$K$29,2,TRUE)</f>
        <v>0.72</v>
      </c>
      <c r="E148" s="37">
        <f>VLOOKUP($C148,Profile!$B$5:$K$29,7,TRUE)</f>
        <v>0.71499999999999997</v>
      </c>
      <c r="F148">
        <f t="shared" si="8"/>
        <v>-4.1666666666666702E-4</v>
      </c>
      <c r="G148">
        <v>-2.566235096677578E-4</v>
      </c>
      <c r="H148" s="37"/>
      <c r="I148">
        <v>0.288570380103292</v>
      </c>
      <c r="J148" s="38">
        <f>-VLOOKUP($C148,Profile!$B$5:$K$29,3,TRUE)*($G148+$I148)</f>
        <v>-20.181962961553698</v>
      </c>
      <c r="K148" s="37"/>
      <c r="O148">
        <v>2.2942893908255808</v>
      </c>
      <c r="P148" s="38">
        <f>VLOOKUP($C148,Profile!$B$5:$K$29,5,TRUE)*$O148</f>
        <v>26.766709559631774</v>
      </c>
      <c r="Q148">
        <f t="shared" si="6"/>
        <v>185.40210851273071</v>
      </c>
    </row>
    <row r="149" spans="1:17" x14ac:dyDescent="0.25">
      <c r="A149" s="1">
        <v>0.34027777777833901</v>
      </c>
      <c r="B149">
        <f t="shared" si="9"/>
        <v>730</v>
      </c>
      <c r="C149">
        <f t="shared" si="7"/>
        <v>490</v>
      </c>
      <c r="D149">
        <f>VLOOKUP($C149,Profile!$B$5:$K$29,2,TRUE)</f>
        <v>0.72</v>
      </c>
      <c r="E149" s="37">
        <f>VLOOKUP($C149,Profile!$B$5:$K$29,7,TRUE)</f>
        <v>0.71499999999999997</v>
      </c>
      <c r="F149">
        <f t="shared" si="8"/>
        <v>-4.1666666666666702E-4</v>
      </c>
      <c r="G149">
        <v>-2.1644838119143958E-4</v>
      </c>
      <c r="H149" s="37"/>
      <c r="I149">
        <v>0.29093396892603662</v>
      </c>
      <c r="J149" s="38">
        <f>-VLOOKUP($C149,Profile!$B$5:$K$29,3,TRUE)*($G149+$I149)</f>
        <v>-20.350226438139163</v>
      </c>
      <c r="K149" s="37"/>
      <c r="O149">
        <v>2.2704726862944291</v>
      </c>
      <c r="P149" s="38">
        <f>VLOOKUP($C149,Profile!$B$5:$K$29,5,TRUE)*$O149</f>
        <v>26.48884800676834</v>
      </c>
      <c r="Q149">
        <f t="shared" si="6"/>
        <v>191.54073008135987</v>
      </c>
    </row>
    <row r="150" spans="1:17" x14ac:dyDescent="0.25">
      <c r="A150" s="1">
        <v>0.343750000000559</v>
      </c>
      <c r="B150">
        <f t="shared" si="9"/>
        <v>735</v>
      </c>
      <c r="C150">
        <f t="shared" si="7"/>
        <v>495</v>
      </c>
      <c r="D150">
        <f>VLOOKUP($C150,Profile!$B$5:$K$29,2,TRUE)</f>
        <v>0.72</v>
      </c>
      <c r="E150" s="37">
        <f>VLOOKUP($C150,Profile!$B$5:$K$29,7,TRUE)</f>
        <v>0.71499999999999997</v>
      </c>
      <c r="F150">
        <f t="shared" si="8"/>
        <v>-4.1666666666666702E-4</v>
      </c>
      <c r="G150">
        <v>-1.8100006186469605E-4</v>
      </c>
      <c r="H150" s="37"/>
      <c r="I150">
        <v>0.29168249093146997</v>
      </c>
      <c r="J150" s="38">
        <f>-VLOOKUP($C150,Profile!$B$5:$K$29,3,TRUE)*($G150+$I150)</f>
        <v>-20.405104360872368</v>
      </c>
      <c r="K150" s="37"/>
      <c r="O150">
        <v>2.2335056566485836</v>
      </c>
      <c r="P150" s="38">
        <f>VLOOKUP($C150,Profile!$B$5:$K$29,5,TRUE)*$O150</f>
        <v>26.057565994233475</v>
      </c>
      <c r="Q150">
        <f t="shared" si="6"/>
        <v>197.19319171472097</v>
      </c>
    </row>
    <row r="151" spans="1:17" x14ac:dyDescent="0.25">
      <c r="A151" s="1">
        <v>0.34722222222277899</v>
      </c>
      <c r="B151">
        <f t="shared" si="9"/>
        <v>740</v>
      </c>
      <c r="C151">
        <f t="shared" si="7"/>
        <v>500</v>
      </c>
      <c r="D151">
        <f>VLOOKUP($C151,Profile!$B$5:$K$29,2,TRUE)</f>
        <v>0.72</v>
      </c>
      <c r="E151" s="37">
        <f>VLOOKUP($C151,Profile!$B$5:$K$29,7,TRUE)</f>
        <v>0.71499999999999997</v>
      </c>
      <c r="F151">
        <f t="shared" si="8"/>
        <v>-4.1666666666666702E-4</v>
      </c>
      <c r="G151">
        <v>-1.5001500096090373E-4</v>
      </c>
      <c r="H151" s="37"/>
      <c r="I151">
        <v>0.29098946730289371</v>
      </c>
      <c r="J151" s="38">
        <f>-VLOOKUP($C151,Profile!$B$5:$K$29,3,TRUE)*($G151+$I151)</f>
        <v>-20.358761661135297</v>
      </c>
      <c r="K151" s="37"/>
      <c r="O151">
        <v>2.1853668328867433</v>
      </c>
      <c r="P151" s="38">
        <f>VLOOKUP($C151,Profile!$B$5:$K$29,5,TRUE)*$O151</f>
        <v>25.495946383678671</v>
      </c>
      <c r="Q151">
        <f t="shared" si="6"/>
        <v>202.33037643726433</v>
      </c>
    </row>
    <row r="152" spans="1:17" x14ac:dyDescent="0.25">
      <c r="A152" s="1">
        <v>0.35069444444499898</v>
      </c>
      <c r="B152">
        <f t="shared" si="9"/>
        <v>745</v>
      </c>
      <c r="C152">
        <f t="shared" si="7"/>
        <v>505</v>
      </c>
      <c r="D152">
        <f>VLOOKUP($C152,Profile!$B$5:$K$29,2,TRUE)</f>
        <v>0.72</v>
      </c>
      <c r="E152" s="37">
        <f>VLOOKUP($C152,Profile!$B$5:$K$29,7,TRUE)</f>
        <v>0.71499999999999997</v>
      </c>
      <c r="F152">
        <f t="shared" si="8"/>
        <v>-4.1666666666666702E-4</v>
      </c>
      <c r="G152">
        <v>-1.2324052131072535E-4</v>
      </c>
      <c r="H152" s="37"/>
      <c r="I152">
        <v>0.28901475172137198</v>
      </c>
      <c r="J152" s="38">
        <f>-VLOOKUP($C152,Profile!$B$5:$K$29,3,TRUE)*($G152+$I152)</f>
        <v>-20.222405784004287</v>
      </c>
      <c r="K152" s="37"/>
      <c r="O152">
        <v>2.1278329539341989</v>
      </c>
      <c r="P152" s="38">
        <f>VLOOKUP($C152,Profile!$B$5:$K$29,5,TRUE)*$O152</f>
        <v>24.824717795898987</v>
      </c>
      <c r="Q152">
        <f t="shared" si="6"/>
        <v>206.93268844915903</v>
      </c>
    </row>
    <row r="153" spans="1:17" x14ac:dyDescent="0.25">
      <c r="A153" s="1">
        <v>0.35416666666721802</v>
      </c>
      <c r="B153">
        <f t="shared" si="9"/>
        <v>750</v>
      </c>
      <c r="C153">
        <f t="shared" si="7"/>
        <v>510</v>
      </c>
      <c r="D153">
        <f>VLOOKUP($C153,Profile!$B$5:$K$29,2,TRUE)</f>
        <v>0.72</v>
      </c>
      <c r="E153" s="37">
        <f>VLOOKUP($C153,Profile!$B$5:$K$29,7,TRUE)</f>
        <v>0.71499999999999997</v>
      </c>
      <c r="F153">
        <f t="shared" si="8"/>
        <v>-4.1666666666666702E-4</v>
      </c>
      <c r="G153">
        <v>-1.0043450706913811E-4</v>
      </c>
      <c r="H153" s="37"/>
      <c r="I153">
        <v>0.28590546173863401</v>
      </c>
      <c r="J153" s="38">
        <f>-VLOOKUP($C153,Profile!$B$5:$K$29,3,TRUE)*($G153+$I153)</f>
        <v>-20.006351906209542</v>
      </c>
      <c r="K153" s="37"/>
      <c r="O153">
        <v>2.0624964226830946</v>
      </c>
      <c r="P153" s="38">
        <f>VLOOKUP($C153,Profile!$B$5:$K$29,5,TRUE)*$O153</f>
        <v>24.062458264636103</v>
      </c>
      <c r="Q153">
        <f t="shared" si="6"/>
        <v>210.98879480758558</v>
      </c>
    </row>
    <row r="154" spans="1:17" x14ac:dyDescent="0.25">
      <c r="A154" s="1">
        <v>0.35763888888943801</v>
      </c>
      <c r="B154">
        <f t="shared" si="9"/>
        <v>755</v>
      </c>
      <c r="C154">
        <f t="shared" si="7"/>
        <v>515</v>
      </c>
      <c r="D154">
        <f>VLOOKUP($C154,Profile!$B$5:$K$29,2,TRUE)</f>
        <v>0.72</v>
      </c>
      <c r="E154" s="37">
        <f>VLOOKUP($C154,Profile!$B$5:$K$29,7,TRUE)</f>
        <v>0.71499999999999997</v>
      </c>
      <c r="F154">
        <f t="shared" si="8"/>
        <v>-4.1666666666666702E-4</v>
      </c>
      <c r="G154">
        <v>-8.1365092207663289E-5</v>
      </c>
      <c r="H154" s="37"/>
      <c r="I154">
        <v>0.28179685191588627</v>
      </c>
      <c r="J154" s="38">
        <f>-VLOOKUP($C154,Profile!$B$5:$K$29,3,TRUE)*($G154+$I154)</f>
        <v>-19.7200840776575</v>
      </c>
      <c r="K154" s="37"/>
      <c r="O154">
        <v>1.990781387710177</v>
      </c>
      <c r="P154" s="38">
        <f>VLOOKUP($C154,Profile!$B$5:$K$29,5,TRUE)*$O154</f>
        <v>23.225782856618732</v>
      </c>
      <c r="Q154">
        <f t="shared" si="6"/>
        <v>214.49449358654681</v>
      </c>
    </row>
    <row r="155" spans="1:17" x14ac:dyDescent="0.25">
      <c r="A155" s="1">
        <v>0.361111111111658</v>
      </c>
      <c r="B155">
        <f t="shared" si="9"/>
        <v>760</v>
      </c>
      <c r="C155">
        <f t="shared" si="7"/>
        <v>520</v>
      </c>
      <c r="D155">
        <f>VLOOKUP($C155,Profile!$B$5:$K$29,2,TRUE)</f>
        <v>0.72</v>
      </c>
      <c r="E155" s="37">
        <f>VLOOKUP($C155,Profile!$B$5:$K$29,7,TRUE)</f>
        <v>0.71499999999999997</v>
      </c>
      <c r="F155">
        <f t="shared" si="8"/>
        <v>-4.1666666666666702E-4</v>
      </c>
      <c r="G155">
        <v>-6.5810350514085525E-5</v>
      </c>
      <c r="H155" s="37"/>
      <c r="I155">
        <v>0.27681313216565417</v>
      </c>
      <c r="J155" s="38">
        <f>-VLOOKUP($C155,Profile!$B$5:$K$29,3,TRUE)*($G155+$I155)</f>
        <v>-19.372312527059808</v>
      </c>
      <c r="K155" s="37"/>
      <c r="O155">
        <v>1.9139585523912221</v>
      </c>
      <c r="P155" s="38">
        <f>VLOOKUP($C155,Profile!$B$5:$K$29,5,TRUE)*$O155</f>
        <v>22.329516444564256</v>
      </c>
      <c r="Q155">
        <f t="shared" si="6"/>
        <v>217.45169750405125</v>
      </c>
    </row>
    <row r="156" spans="1:17" x14ac:dyDescent="0.25">
      <c r="A156" s="1">
        <v>0.36458333333387799</v>
      </c>
      <c r="B156">
        <f t="shared" si="9"/>
        <v>765</v>
      </c>
      <c r="C156">
        <f t="shared" si="7"/>
        <v>525</v>
      </c>
      <c r="D156">
        <f>VLOOKUP($C156,Profile!$B$5:$K$29,2,TRUE)</f>
        <v>0.72</v>
      </c>
      <c r="E156" s="37">
        <f>VLOOKUP($C156,Profile!$B$5:$K$29,7,TRUE)</f>
        <v>0.71499999999999997</v>
      </c>
      <c r="F156">
        <f t="shared" si="8"/>
        <v>-4.1666666666666702E-4</v>
      </c>
      <c r="G156">
        <v>-5.3557987801468926E-5</v>
      </c>
      <c r="H156" s="37"/>
      <c r="I156">
        <v>0.27106823453916568</v>
      </c>
      <c r="J156" s="38">
        <f>-VLOOKUP($C156,Profile!$B$5:$K$29,3,TRUE)*($G156+$I156)</f>
        <v>-18.971027358595492</v>
      </c>
      <c r="K156" s="37"/>
      <c r="O156">
        <v>1.8331588059261823</v>
      </c>
      <c r="P156" s="38">
        <f>VLOOKUP($C156,Profile!$B$5:$K$29,5,TRUE)*$O156</f>
        <v>21.386852735805459</v>
      </c>
      <c r="Q156">
        <f t="shared" si="6"/>
        <v>219.86752288126121</v>
      </c>
    </row>
    <row r="157" spans="1:17" x14ac:dyDescent="0.25">
      <c r="A157" s="1">
        <v>0.36805555555609798</v>
      </c>
      <c r="B157">
        <f t="shared" si="9"/>
        <v>770</v>
      </c>
      <c r="C157">
        <f t="shared" si="7"/>
        <v>530</v>
      </c>
      <c r="D157">
        <f>VLOOKUP($C157,Profile!$B$5:$K$29,2,TRUE)</f>
        <v>0.72</v>
      </c>
      <c r="E157" s="37">
        <f>VLOOKUP($C157,Profile!$B$5:$K$29,7,TRUE)</f>
        <v>0.71499999999999997</v>
      </c>
      <c r="F157">
        <f t="shared" si="8"/>
        <v>-4.1666666666666702E-4</v>
      </c>
      <c r="G157">
        <v>-4.4405036953801068E-5</v>
      </c>
      <c r="H157" s="37"/>
      <c r="I157">
        <v>0.26466653151784209</v>
      </c>
      <c r="J157" s="38">
        <f>-VLOOKUP($C157,Profile!$B$5:$K$29,3,TRUE)*($G157+$I157)</f>
        <v>-18.523548853662181</v>
      </c>
      <c r="K157" s="37"/>
      <c r="O157">
        <v>1.7493857640777701</v>
      </c>
      <c r="P157" s="38">
        <f>VLOOKUP($C157,Profile!$B$5:$K$29,5,TRUE)*$O157</f>
        <v>20.409500580907316</v>
      </c>
      <c r="Q157">
        <f t="shared" si="6"/>
        <v>221.75347460850634</v>
      </c>
    </row>
    <row r="158" spans="1:17" x14ac:dyDescent="0.25">
      <c r="A158" s="1">
        <v>0.37152777777831802</v>
      </c>
      <c r="B158">
        <f t="shared" si="9"/>
        <v>775</v>
      </c>
      <c r="C158">
        <f t="shared" si="7"/>
        <v>535</v>
      </c>
      <c r="D158">
        <f>VLOOKUP($C158,Profile!$B$5:$K$29,2,TRUE)</f>
        <v>0.72</v>
      </c>
      <c r="E158" s="37">
        <f>VLOOKUP($C158,Profile!$B$5:$K$29,7,TRUE)</f>
        <v>0.71499999999999997</v>
      </c>
      <c r="F158">
        <f t="shared" si="8"/>
        <v>-4.1666666666666702E-4</v>
      </c>
      <c r="G158">
        <v>-3.8157556366712582E-5</v>
      </c>
      <c r="H158" s="37"/>
      <c r="I158">
        <v>0.25770350869363534</v>
      </c>
      <c r="J158" s="38">
        <f>-VLOOKUP($C158,Profile!$B$5:$K$29,3,TRUE)*($G158+$I158)</f>
        <v>-18.036574579608804</v>
      </c>
      <c r="K158" s="37"/>
      <c r="O158">
        <v>1.6635273011757632</v>
      </c>
      <c r="P158" s="38">
        <f>VLOOKUP($C158,Profile!$B$5:$K$29,5,TRUE)*$O158</f>
        <v>19.407818513717235</v>
      </c>
      <c r="Q158">
        <f t="shared" si="6"/>
        <v>223.12471854261477</v>
      </c>
    </row>
    <row r="159" spans="1:17" x14ac:dyDescent="0.25">
      <c r="A159" s="1">
        <v>0.37500000000053801</v>
      </c>
      <c r="B159">
        <f t="shared" si="9"/>
        <v>780</v>
      </c>
      <c r="C159">
        <f t="shared" si="7"/>
        <v>540</v>
      </c>
      <c r="D159">
        <f>VLOOKUP($C159,Profile!$B$5:$K$29,2,TRUE)</f>
        <v>0.72</v>
      </c>
      <c r="E159" s="37">
        <f>VLOOKUP($C159,Profile!$B$5:$K$29,7,TRUE)</f>
        <v>0.71499999999999997</v>
      </c>
      <c r="F159">
        <f t="shared" si="8"/>
        <v>-4.1666666666666702E-4</v>
      </c>
      <c r="G159">
        <v>-3.4630332278106233E-5</v>
      </c>
      <c r="H159" s="37"/>
      <c r="I159">
        <v>0.25026639455868527</v>
      </c>
      <c r="J159" s="38">
        <f>-VLOOKUP($C159,Profile!$B$5:$K$29,3,TRUE)*($G159+$I159)</f>
        <v>-17.5162234958485</v>
      </c>
      <c r="K159" s="37"/>
      <c r="O159">
        <v>1.5763661491187941</v>
      </c>
      <c r="P159" s="38">
        <f>VLOOKUP($C159,Profile!$B$5:$K$29,5,TRUE)*$O159</f>
        <v>18.390938406385931</v>
      </c>
      <c r="Q159">
        <f t="shared" si="6"/>
        <v>223.99943345315222</v>
      </c>
    </row>
    <row r="160" spans="1:17" x14ac:dyDescent="0.25">
      <c r="A160" s="1">
        <v>0.378472222222758</v>
      </c>
      <c r="B160">
        <f t="shared" si="9"/>
        <v>785</v>
      </c>
      <c r="C160">
        <f t="shared" si="7"/>
        <v>545</v>
      </c>
      <c r="D160">
        <f>VLOOKUP($C160,Profile!$B$5:$K$29,2,TRUE)</f>
        <v>0.72</v>
      </c>
      <c r="E160" s="37">
        <f>VLOOKUP($C160,Profile!$B$5:$K$29,7,TRUE)</f>
        <v>0.71499999999999997</v>
      </c>
      <c r="F160">
        <f t="shared" si="8"/>
        <v>-4.1666666666666702E-4</v>
      </c>
      <c r="G160">
        <v>-3.3945908797570619E-5</v>
      </c>
      <c r="H160" s="37"/>
      <c r="I160">
        <v>0.2424347499695548</v>
      </c>
      <c r="J160" s="38">
        <f>-VLOOKUP($C160,Profile!$B$5:$K$29,3,TRUE)*($G160+$I160)</f>
        <v>-16.968056284253006</v>
      </c>
      <c r="K160" s="37"/>
      <c r="O160">
        <v>1.4885896336861719</v>
      </c>
      <c r="P160" s="38">
        <f>VLOOKUP($C160,Profile!$B$5:$K$29,5,TRUE)*$O160</f>
        <v>17.366879059672005</v>
      </c>
      <c r="Q160">
        <f t="shared" si="6"/>
        <v>224.39825622857123</v>
      </c>
    </row>
    <row r="161" spans="1:17" x14ac:dyDescent="0.25">
      <c r="A161" s="1">
        <v>0.38194444444497699</v>
      </c>
      <c r="B161">
        <f t="shared" si="9"/>
        <v>790</v>
      </c>
      <c r="C161">
        <f t="shared" si="7"/>
        <v>550</v>
      </c>
      <c r="D161">
        <f>VLOOKUP($C161,Profile!$B$5:$K$29,2,TRUE)</f>
        <v>0.72</v>
      </c>
      <c r="E161" s="37">
        <f>VLOOKUP($C161,Profile!$B$5:$K$29,7,TRUE)</f>
        <v>0.71499999999999997</v>
      </c>
      <c r="F161">
        <f t="shared" si="8"/>
        <v>-4.1666666666666702E-4</v>
      </c>
      <c r="G161">
        <v>-3.5919015855849314E-5</v>
      </c>
      <c r="H161" s="37"/>
      <c r="I161">
        <v>0.23428101970465445</v>
      </c>
      <c r="J161" s="38">
        <f>-VLOOKUP($C161,Profile!$B$5:$K$29,3,TRUE)*($G161+$I161)</f>
        <v>-16.397157048215902</v>
      </c>
      <c r="K161" s="37"/>
      <c r="O161">
        <v>1.4007986134272694</v>
      </c>
      <c r="P161" s="38">
        <f>VLOOKUP($C161,Profile!$B$5:$K$29,5,TRUE)*$O161</f>
        <v>16.342650489984809</v>
      </c>
      <c r="Q161">
        <f t="shared" si="6"/>
        <v>224.34374967034012</v>
      </c>
    </row>
    <row r="162" spans="1:17" x14ac:dyDescent="0.25">
      <c r="A162" s="1">
        <v>0.38541666666719698</v>
      </c>
      <c r="B162">
        <f t="shared" si="9"/>
        <v>795</v>
      </c>
      <c r="C162">
        <f t="shared" si="7"/>
        <v>555</v>
      </c>
      <c r="D162">
        <f>VLOOKUP($C162,Profile!$B$5:$K$29,2,TRUE)</f>
        <v>0.72</v>
      </c>
      <c r="E162" s="37">
        <f>VLOOKUP($C162,Profile!$B$5:$K$29,7,TRUE)</f>
        <v>0.71499999999999997</v>
      </c>
      <c r="F162">
        <f t="shared" si="8"/>
        <v>-4.1666666666666702E-4</v>
      </c>
      <c r="G162">
        <v>-4.0372718363308358E-5</v>
      </c>
      <c r="H162" s="37"/>
      <c r="I162">
        <v>0.22587104839492519</v>
      </c>
      <c r="J162" s="38">
        <f>-VLOOKUP($C162,Profile!$B$5:$K$29,3,TRUE)*($G162+$I162)</f>
        <v>-15.808147297359334</v>
      </c>
      <c r="K162" s="37"/>
      <c r="O162">
        <v>1.3135156817001699</v>
      </c>
      <c r="P162" s="38">
        <f>VLOOKUP($C162,Profile!$B$5:$K$29,5,TRUE)*$O162</f>
        <v>15.324349619835314</v>
      </c>
      <c r="Q162">
        <f t="shared" si="6"/>
        <v>223.85995199281609</v>
      </c>
    </row>
    <row r="163" spans="1:17" x14ac:dyDescent="0.25">
      <c r="A163" s="1">
        <v>0.38888888888941697</v>
      </c>
      <c r="B163">
        <f t="shared" si="9"/>
        <v>800</v>
      </c>
      <c r="C163">
        <f t="shared" si="7"/>
        <v>560</v>
      </c>
      <c r="D163">
        <f>VLOOKUP($C163,Profile!$B$5:$K$29,2,TRUE)</f>
        <v>0.72</v>
      </c>
      <c r="E163" s="37">
        <f>VLOOKUP($C163,Profile!$B$5:$K$29,7,TRUE)</f>
        <v>0.71499999999999997</v>
      </c>
      <c r="F163">
        <f t="shared" si="8"/>
        <v>-4.1666666666666702E-4</v>
      </c>
      <c r="G163">
        <v>-4.7138146020737489E-5</v>
      </c>
      <c r="H163" s="37"/>
      <c r="I163">
        <v>0.2172645629769753</v>
      </c>
      <c r="J163" s="38">
        <f>-VLOOKUP($C163,Profile!$B$5:$K$29,3,TRUE)*($G163+$I163)</f>
        <v>-15.20521973816682</v>
      </c>
      <c r="K163" s="37"/>
      <c r="O163">
        <v>1.2271926880610375</v>
      </c>
      <c r="P163" s="38">
        <f>VLOOKUP($C163,Profile!$B$5:$K$29,5,TRUE)*$O163</f>
        <v>14.317248027378771</v>
      </c>
      <c r="Q163">
        <f t="shared" si="6"/>
        <v>222.97198028202806</v>
      </c>
    </row>
    <row r="164" spans="1:17" x14ac:dyDescent="0.25">
      <c r="A164" s="1">
        <v>0.39236111111163702</v>
      </c>
      <c r="B164">
        <f t="shared" si="9"/>
        <v>805</v>
      </c>
      <c r="C164">
        <f t="shared" si="7"/>
        <v>565</v>
      </c>
      <c r="D164">
        <f>VLOOKUP($C164,Profile!$B$5:$K$29,2,TRUE)</f>
        <v>0.72</v>
      </c>
      <c r="E164" s="37">
        <f>VLOOKUP($C164,Profile!$B$5:$K$29,7,TRUE)</f>
        <v>0.71499999999999997</v>
      </c>
      <c r="F164">
        <f t="shared" si="8"/>
        <v>-4.1666666666666702E-4</v>
      </c>
      <c r="G164">
        <v>-5.605422633335559E-5</v>
      </c>
      <c r="H164" s="37"/>
      <c r="I164">
        <v>0.20851562369424889</v>
      </c>
      <c r="J164" s="38">
        <f>-VLOOKUP($C164,Profile!$B$5:$K$29,3,TRUE)*($G164+$I164)</f>
        <v>-14.592169862754087</v>
      </c>
      <c r="K164" s="37"/>
      <c r="O164">
        <v>1.1422176311391272</v>
      </c>
      <c r="P164" s="38">
        <f>VLOOKUP($C164,Profile!$B$5:$K$29,5,TRUE)*$O164</f>
        <v>13.325872363289816</v>
      </c>
      <c r="Q164">
        <f t="shared" si="6"/>
        <v>221.7056827825638</v>
      </c>
    </row>
    <row r="165" spans="1:17" x14ac:dyDescent="0.25">
      <c r="A165" s="1">
        <v>0.39583333333385701</v>
      </c>
      <c r="B165">
        <f t="shared" si="9"/>
        <v>810</v>
      </c>
      <c r="C165">
        <f t="shared" si="7"/>
        <v>570</v>
      </c>
      <c r="D165">
        <f>VLOOKUP($C165,Profile!$B$5:$K$29,2,TRUE)</f>
        <v>0.72</v>
      </c>
      <c r="E165" s="37">
        <f>VLOOKUP($C165,Profile!$B$5:$K$29,7,TRUE)</f>
        <v>0.71499999999999997</v>
      </c>
      <c r="F165">
        <f t="shared" si="8"/>
        <v>-4.1666666666666702E-4</v>
      </c>
      <c r="G165">
        <v>-6.6967421257333186E-5</v>
      </c>
      <c r="H165" s="37"/>
      <c r="I165">
        <v>0.19967304555504725</v>
      </c>
      <c r="J165" s="38">
        <f>-VLOOKUP($C165,Profile!$B$5:$K$29,3,TRUE)*($G165+$I165)</f>
        <v>-13.972425469365295</v>
      </c>
      <c r="K165" s="37"/>
      <c r="O165">
        <v>1.0589209713489813</v>
      </c>
      <c r="P165" s="38">
        <f>VLOOKUP($C165,Profile!$B$5:$K$29,5,TRUE)*$O165</f>
        <v>12.354077999071448</v>
      </c>
      <c r="Q165">
        <f t="shared" ref="Q165:Q228" si="10">+Q164+$J165+$P165</f>
        <v>220.08733531226994</v>
      </c>
    </row>
    <row r="166" spans="1:17" x14ac:dyDescent="0.25">
      <c r="A166" s="1">
        <v>0.399305555556077</v>
      </c>
      <c r="B166">
        <f t="shared" si="9"/>
        <v>815</v>
      </c>
      <c r="C166">
        <f t="shared" si="7"/>
        <v>575</v>
      </c>
      <c r="D166">
        <f>VLOOKUP($C166,Profile!$B$5:$K$29,2,TRUE)</f>
        <v>0.72</v>
      </c>
      <c r="E166" s="37">
        <f>VLOOKUP($C166,Profile!$B$5:$K$29,7,TRUE)</f>
        <v>0.71499999999999997</v>
      </c>
      <c r="F166">
        <f t="shared" si="8"/>
        <v>-4.1666666666666702E-4</v>
      </c>
      <c r="G166">
        <v>-7.97314678561916E-5</v>
      </c>
      <c r="H166" s="37"/>
      <c r="I166">
        <v>0.19078079204596704</v>
      </c>
      <c r="J166" s="38">
        <f>-VLOOKUP($C166,Profile!$B$5:$K$29,3,TRUE)*($G166+$I166)</f>
        <v>-13.349074240467759</v>
      </c>
      <c r="K166" s="37"/>
      <c r="O166">
        <v>0.97758140827201911</v>
      </c>
      <c r="P166" s="38">
        <f>VLOOKUP($C166,Profile!$B$5:$K$29,5,TRUE)*$O166</f>
        <v>11.405116429840222</v>
      </c>
      <c r="Q166">
        <f t="shared" si="10"/>
        <v>218.14337750164242</v>
      </c>
    </row>
    <row r="167" spans="1:17" x14ac:dyDescent="0.25">
      <c r="A167" s="1">
        <v>0.40277777777829699</v>
      </c>
      <c r="B167">
        <f t="shared" si="9"/>
        <v>820</v>
      </c>
      <c r="C167">
        <f t="shared" si="7"/>
        <v>580</v>
      </c>
      <c r="D167">
        <f>VLOOKUP($C167,Profile!$B$5:$K$29,2,TRUE)</f>
        <v>0.72</v>
      </c>
      <c r="E167" s="37">
        <f>VLOOKUP($C167,Profile!$B$5:$K$29,7,TRUE)</f>
        <v>0.71499999999999997</v>
      </c>
      <c r="F167">
        <f t="shared" si="8"/>
        <v>-4.1666666666666702E-4</v>
      </c>
      <c r="G167">
        <v>-9.420712329656175E-5</v>
      </c>
      <c r="H167" s="37"/>
      <c r="I167">
        <v>0.18187834279519713</v>
      </c>
      <c r="J167" s="38">
        <f>-VLOOKUP($C167,Profile!$B$5:$K$29,3,TRUE)*($G167+$I167)</f>
        <v>-12.72488949703304</v>
      </c>
      <c r="K167" s="37"/>
      <c r="O167">
        <v>0.89843116426650693</v>
      </c>
      <c r="P167" s="38">
        <f>VLOOKUP($C167,Profile!$B$5:$K$29,5,TRUE)*$O167</f>
        <v>10.48169691644258</v>
      </c>
      <c r="Q167">
        <f t="shared" si="10"/>
        <v>215.90018492105196</v>
      </c>
    </row>
    <row r="168" spans="1:17" x14ac:dyDescent="0.25">
      <c r="A168" s="1">
        <v>0.40625000000051698</v>
      </c>
      <c r="B168">
        <f t="shared" si="9"/>
        <v>825</v>
      </c>
      <c r="C168">
        <f t="shared" si="7"/>
        <v>585</v>
      </c>
      <c r="D168">
        <f>VLOOKUP($C168,Profile!$B$5:$K$29,2,TRUE)</f>
        <v>0.72</v>
      </c>
      <c r="E168" s="37">
        <f>VLOOKUP($C168,Profile!$B$5:$K$29,7,TRUE)</f>
        <v>0.71499999999999997</v>
      </c>
      <c r="F168">
        <f t="shared" si="8"/>
        <v>-4.1666666666666702E-4</v>
      </c>
      <c r="G168">
        <v>-1.1026191446872384E-4</v>
      </c>
      <c r="H168" s="37"/>
      <c r="I168">
        <v>0.17300103678180617</v>
      </c>
      <c r="J168" s="38">
        <f>-VLOOKUP($C168,Profile!$B$5:$K$29,3,TRUE)*($G168+$I168)</f>
        <v>-12.102354240713622</v>
      </c>
      <c r="K168" s="37"/>
      <c r="O168">
        <v>0.82166081282113623</v>
      </c>
      <c r="P168" s="38">
        <f>VLOOKUP($C168,Profile!$B$5:$K$29,5,TRUE)*$O168</f>
        <v>9.5860428162465894</v>
      </c>
      <c r="Q168">
        <f t="shared" si="10"/>
        <v>213.38387349658493</v>
      </c>
    </row>
    <row r="169" spans="1:17" x14ac:dyDescent="0.25">
      <c r="A169" s="1">
        <v>0.40972222222273702</v>
      </c>
      <c r="B169">
        <f t="shared" si="9"/>
        <v>830</v>
      </c>
      <c r="C169">
        <f t="shared" si="7"/>
        <v>590</v>
      </c>
      <c r="D169">
        <f>VLOOKUP($C169,Profile!$B$5:$K$29,2,TRUE)</f>
        <v>0.72</v>
      </c>
      <c r="E169" s="37">
        <f>VLOOKUP($C169,Profile!$B$5:$K$29,7,TRUE)</f>
        <v>0.71499999999999997</v>
      </c>
      <c r="F169">
        <f t="shared" si="8"/>
        <v>-4.1666666666666702E-4</v>
      </c>
      <c r="G169">
        <v>-1.277698924768258E-4</v>
      </c>
      <c r="H169" s="37"/>
      <c r="I169">
        <v>0.16418039259433598</v>
      </c>
      <c r="J169" s="38">
        <f>-VLOOKUP($C169,Profile!$B$5:$K$29,3,TRUE)*($G169+$I169)</f>
        <v>-11.483683589130141</v>
      </c>
      <c r="K169" s="37"/>
      <c r="O169">
        <v>0.74742368733750453</v>
      </c>
      <c r="P169" s="38">
        <f>VLOOKUP($C169,Profile!$B$5:$K$29,5,TRUE)*$O169</f>
        <v>8.7199430189375526</v>
      </c>
      <c r="Q169">
        <f t="shared" si="10"/>
        <v>210.62013292639233</v>
      </c>
    </row>
    <row r="170" spans="1:17" x14ac:dyDescent="0.25">
      <c r="A170" s="1">
        <v>0.41319444444495601</v>
      </c>
      <c r="B170">
        <f t="shared" si="9"/>
        <v>835</v>
      </c>
      <c r="C170">
        <f t="shared" si="7"/>
        <v>595</v>
      </c>
      <c r="D170">
        <f>VLOOKUP($C170,Profile!$B$5:$K$29,2,TRUE)</f>
        <v>0.72</v>
      </c>
      <c r="E170" s="37">
        <f>VLOOKUP($C170,Profile!$B$5:$K$29,7,TRUE)</f>
        <v>0.71499999999999997</v>
      </c>
      <c r="F170">
        <f t="shared" si="8"/>
        <v>-4.1666666666666702E-4</v>
      </c>
      <c r="G170">
        <v>-1.4661139220646885E-4</v>
      </c>
      <c r="H170" s="37"/>
      <c r="I170">
        <v>0.15544440715439811</v>
      </c>
      <c r="J170" s="38">
        <f>-VLOOKUP($C170,Profile!$B$5:$K$29,3,TRUE)*($G170+$I170)</f>
        <v>-10.870845703353414</v>
      </c>
      <c r="K170" s="37"/>
      <c r="O170">
        <v>0.6758399033961463</v>
      </c>
      <c r="P170" s="38">
        <f>VLOOKUP($C170,Profile!$B$5:$K$29,5,TRUE)*$O170</f>
        <v>7.8847988729550398</v>
      </c>
      <c r="Q170">
        <f t="shared" si="10"/>
        <v>207.63408609599395</v>
      </c>
    </row>
    <row r="171" spans="1:17" x14ac:dyDescent="0.25">
      <c r="A171" s="1">
        <v>0.416666666667176</v>
      </c>
      <c r="B171">
        <f t="shared" si="9"/>
        <v>840</v>
      </c>
      <c r="C171">
        <f t="shared" si="7"/>
        <v>600</v>
      </c>
      <c r="D171">
        <f>VLOOKUP($C171,Profile!$B$5:$K$29,2,TRUE)</f>
        <v>0.72</v>
      </c>
      <c r="E171" s="37">
        <f>VLOOKUP($C171,Profile!$B$5:$K$29,7,TRUE)</f>
        <v>0.71499999999999997</v>
      </c>
      <c r="F171">
        <f t="shared" si="8"/>
        <v>-4.1666666666666702E-4</v>
      </c>
      <c r="G171">
        <v>-1.6667279714323058E-4</v>
      </c>
      <c r="H171" s="37"/>
      <c r="I171">
        <v>0.14681783423825873</v>
      </c>
      <c r="J171" s="38">
        <f>-VLOOKUP($C171,Profile!$B$5:$K$29,3,TRUE)*($G171+$I171)</f>
        <v>-10.265581300878086</v>
      </c>
      <c r="K171" s="37"/>
      <c r="O171">
        <v>0.60700002511580464</v>
      </c>
      <c r="P171" s="38">
        <f>VLOOKUP($C171,Profile!$B$5:$K$29,5,TRUE)*$O171</f>
        <v>7.0816669596843873</v>
      </c>
      <c r="Q171">
        <f t="shared" si="10"/>
        <v>204.45017175480024</v>
      </c>
    </row>
    <row r="172" spans="1:17" x14ac:dyDescent="0.25">
      <c r="A172" s="1">
        <v>0.42013888888939599</v>
      </c>
      <c r="B172">
        <f t="shared" si="9"/>
        <v>845</v>
      </c>
      <c r="C172">
        <f t="shared" si="7"/>
        <v>605</v>
      </c>
      <c r="D172">
        <f>VLOOKUP($C172,Profile!$B$5:$K$29,2,TRUE)</f>
        <v>0.72</v>
      </c>
      <c r="E172" s="37">
        <f>VLOOKUP($C172,Profile!$B$5:$K$29,7,TRUE)</f>
        <v>0.71499999999999997</v>
      </c>
      <c r="F172">
        <f t="shared" si="8"/>
        <v>-4.1666666666666702E-4</v>
      </c>
      <c r="G172">
        <v>-1.8664901609333038E-4</v>
      </c>
      <c r="H172" s="37"/>
      <c r="I172">
        <v>0.13832244405133917</v>
      </c>
      <c r="J172" s="38">
        <f>-VLOOKUP($C172,Profile!$B$5:$K$29,3,TRUE)*($G172+$I172)</f>
        <v>-9.6695056524672083</v>
      </c>
      <c r="K172" s="37"/>
      <c r="O172">
        <v>0.54096840394368173</v>
      </c>
      <c r="P172" s="38">
        <f>VLOOKUP($C172,Profile!$B$5:$K$29,5,TRUE)*$O172</f>
        <v>6.31129804600962</v>
      </c>
      <c r="Q172">
        <f t="shared" si="10"/>
        <v>201.09196414834267</v>
      </c>
    </row>
    <row r="173" spans="1:17" x14ac:dyDescent="0.25">
      <c r="A173" s="1">
        <v>0.42361111111161598</v>
      </c>
      <c r="B173">
        <f t="shared" si="9"/>
        <v>850</v>
      </c>
      <c r="C173">
        <f t="shared" si="7"/>
        <v>610</v>
      </c>
      <c r="D173">
        <f>VLOOKUP($C173,Profile!$B$5:$K$29,2,TRUE)</f>
        <v>0.72</v>
      </c>
      <c r="E173" s="37">
        <f>VLOOKUP($C173,Profile!$B$5:$K$29,7,TRUE)</f>
        <v>0.71499999999999997</v>
      </c>
      <c r="F173">
        <f t="shared" si="8"/>
        <v>-4.1666666666666702E-4</v>
      </c>
      <c r="G173">
        <v>-2.0650439256288437E-4</v>
      </c>
      <c r="H173" s="37"/>
      <c r="I173">
        <v>0.12997726503688861</v>
      </c>
      <c r="J173" s="38">
        <f>-VLOOKUP($C173,Profile!$B$5:$K$29,3,TRUE)*($G173+$I173)</f>
        <v>-9.0839532451027996</v>
      </c>
      <c r="K173" s="37"/>
      <c r="O173">
        <v>0.47778621610359756</v>
      </c>
      <c r="P173" s="38">
        <f>VLOOKUP($C173,Profile!$B$5:$K$29,5,TRUE)*$O173</f>
        <v>5.5741725212086379</v>
      </c>
      <c r="Q173">
        <f t="shared" si="10"/>
        <v>197.58218342444849</v>
      </c>
    </row>
    <row r="174" spans="1:17" x14ac:dyDescent="0.25">
      <c r="A174" s="1">
        <v>0.42708333333383602</v>
      </c>
      <c r="B174">
        <f t="shared" si="9"/>
        <v>855</v>
      </c>
      <c r="C174">
        <f t="shared" si="7"/>
        <v>615</v>
      </c>
      <c r="D174">
        <f>VLOOKUP($C174,Profile!$B$5:$K$29,2,TRUE)</f>
        <v>0.72</v>
      </c>
      <c r="E174" s="37">
        <f>VLOOKUP($C174,Profile!$B$5:$K$29,7,TRUE)</f>
        <v>0.71499999999999997</v>
      </c>
      <c r="F174">
        <f t="shared" si="8"/>
        <v>-4.1666666666666702E-4</v>
      </c>
      <c r="G174">
        <v>-2.2620675505587542E-4</v>
      </c>
      <c r="H174" s="37"/>
      <c r="I174">
        <v>0.12179880903056739</v>
      </c>
      <c r="J174" s="38">
        <f>-VLOOKUP($C174,Profile!$B$5:$K$29,3,TRUE)*($G174+$I174)</f>
        <v>-8.5100821592858065</v>
      </c>
      <c r="K174" s="37"/>
      <c r="O174">
        <v>0.41747422296829634</v>
      </c>
      <c r="P174" s="38">
        <f>VLOOKUP($C174,Profile!$B$5:$K$29,5,TRUE)*$O174</f>
        <v>4.87053260129679</v>
      </c>
      <c r="Q174">
        <f t="shared" si="10"/>
        <v>193.94263386645946</v>
      </c>
    </row>
    <row r="175" spans="1:17" x14ac:dyDescent="0.25">
      <c r="A175" s="1">
        <v>0.43055555555605601</v>
      </c>
      <c r="B175">
        <f t="shared" si="9"/>
        <v>860</v>
      </c>
      <c r="C175">
        <f t="shared" si="7"/>
        <v>620</v>
      </c>
      <c r="D175">
        <f>VLOOKUP($C175,Profile!$B$5:$K$29,2,TRUE)</f>
        <v>0.72</v>
      </c>
      <c r="E175" s="37">
        <f>VLOOKUP($C175,Profile!$B$5:$K$29,7,TRUE)</f>
        <v>0.71499999999999997</v>
      </c>
      <c r="F175">
        <f t="shared" si="8"/>
        <v>-4.1666666666666702E-4</v>
      </c>
      <c r="G175">
        <v>-2.4572717172604815E-4</v>
      </c>
      <c r="H175" s="37"/>
      <c r="I175">
        <v>0.1138012808070909</v>
      </c>
      <c r="J175" s="38">
        <f>-VLOOKUP($C175,Profile!$B$5:$K$29,3,TRUE)*($G175+$I175)</f>
        <v>-7.9488887544755391</v>
      </c>
      <c r="K175" s="37"/>
      <c r="O175">
        <v>0.36003527680123432</v>
      </c>
      <c r="P175" s="38">
        <f>VLOOKUP($C175,Profile!$B$5:$K$29,5,TRUE)*$O175</f>
        <v>4.200411562681067</v>
      </c>
      <c r="Q175">
        <f t="shared" si="10"/>
        <v>190.19415667466498</v>
      </c>
    </row>
    <row r="176" spans="1:17" x14ac:dyDescent="0.25">
      <c r="A176" s="1">
        <v>0.434027777778276</v>
      </c>
      <c r="B176">
        <f t="shared" si="9"/>
        <v>865</v>
      </c>
      <c r="C176">
        <f t="shared" si="7"/>
        <v>625</v>
      </c>
      <c r="D176">
        <f>VLOOKUP($C176,Profile!$B$5:$K$29,2,TRUE)</f>
        <v>0.72</v>
      </c>
      <c r="E176" s="37">
        <f>VLOOKUP($C176,Profile!$B$5:$K$29,7,TRUE)</f>
        <v>0.71499999999999997</v>
      </c>
      <c r="F176">
        <f t="shared" si="8"/>
        <v>-4.1666666666666702E-4</v>
      </c>
      <c r="G176">
        <v>-2.6503972019742287E-4</v>
      </c>
      <c r="H176" s="37"/>
      <c r="I176">
        <v>0.1059967730032001</v>
      </c>
      <c r="J176" s="38">
        <f>-VLOOKUP($C176,Profile!$B$5:$K$29,3,TRUE)*($G176+$I176)</f>
        <v>-7.4012213298101868</v>
      </c>
      <c r="K176" s="37"/>
      <c r="O176">
        <v>0.30545659262244096</v>
      </c>
      <c r="P176" s="38">
        <f>VLOOKUP($C176,Profile!$B$5:$K$29,5,TRUE)*$O176</f>
        <v>3.5636602472618111</v>
      </c>
      <c r="Q176">
        <f t="shared" si="10"/>
        <v>186.35659559211661</v>
      </c>
    </row>
    <row r="177" spans="1:17" x14ac:dyDescent="0.25">
      <c r="A177" s="1">
        <v>0.43750000000049599</v>
      </c>
      <c r="B177">
        <f t="shared" si="9"/>
        <v>870</v>
      </c>
      <c r="C177">
        <f t="shared" si="7"/>
        <v>630</v>
      </c>
      <c r="D177">
        <f>VLOOKUP($C177,Profile!$B$5:$K$29,2,TRUE)</f>
        <v>0.72</v>
      </c>
      <c r="E177" s="37">
        <f>VLOOKUP($C177,Profile!$B$5:$K$29,7,TRUE)</f>
        <v>0.71499999999999997</v>
      </c>
      <c r="F177">
        <f t="shared" si="8"/>
        <v>-4.1666666666666702E-4</v>
      </c>
      <c r="G177">
        <v>-2.8412127167988169E-4</v>
      </c>
      <c r="H177" s="37"/>
      <c r="I177">
        <v>9.83954473428552E-2</v>
      </c>
      <c r="J177" s="38">
        <f>-VLOOKUP($C177,Profile!$B$5:$K$29,3,TRUE)*($G177+$I177)</f>
        <v>-6.8677928249822724</v>
      </c>
      <c r="K177" s="37"/>
      <c r="O177">
        <v>0.25371180538348775</v>
      </c>
      <c r="P177" s="38">
        <f>VLOOKUP($C177,Profile!$B$5:$K$29,5,TRUE)*$O177</f>
        <v>2.959971062807357</v>
      </c>
      <c r="Q177">
        <f t="shared" si="10"/>
        <v>182.4487738299417</v>
      </c>
    </row>
    <row r="178" spans="1:17" x14ac:dyDescent="0.25">
      <c r="A178" s="1">
        <v>0.44097222222271498</v>
      </c>
      <c r="B178">
        <f t="shared" si="9"/>
        <v>875</v>
      </c>
      <c r="C178">
        <f t="shared" si="7"/>
        <v>635</v>
      </c>
      <c r="D178">
        <f>VLOOKUP($C178,Profile!$B$5:$K$29,2,TRUE)</f>
        <v>0.72</v>
      </c>
      <c r="E178" s="37">
        <f>VLOOKUP($C178,Profile!$B$5:$K$29,7,TRUE)</f>
        <v>0.71499999999999997</v>
      </c>
      <c r="F178">
        <f t="shared" si="8"/>
        <v>-4.1666666666666702E-4</v>
      </c>
      <c r="G178">
        <v>-3.0295128855435948E-4</v>
      </c>
      <c r="H178" s="37"/>
      <c r="I178">
        <v>9.1005703035487259E-2</v>
      </c>
      <c r="J178" s="38">
        <f>-VLOOKUP($C178,Profile!$B$5:$K$29,3,TRUE)*($G178+$I178)</f>
        <v>-6.3491926222853028</v>
      </c>
      <c r="K178" s="37"/>
      <c r="O178">
        <v>0.20476283017986996</v>
      </c>
      <c r="P178" s="38">
        <f>VLOOKUP($C178,Profile!$B$5:$K$29,5,TRUE)*$O178</f>
        <v>2.3888996854318161</v>
      </c>
      <c r="Q178">
        <f t="shared" si="10"/>
        <v>178.48848089308822</v>
      </c>
    </row>
    <row r="179" spans="1:17" x14ac:dyDescent="0.25">
      <c r="A179" s="1">
        <v>0.44444444444493503</v>
      </c>
      <c r="B179">
        <f t="shared" si="9"/>
        <v>880</v>
      </c>
      <c r="C179">
        <f t="shared" si="7"/>
        <v>640</v>
      </c>
      <c r="D179">
        <f>VLOOKUP($C179,Profile!$B$5:$K$29,2,TRUE)</f>
        <v>0.72</v>
      </c>
      <c r="E179" s="37">
        <f>VLOOKUP($C179,Profile!$B$5:$K$29,7,TRUE)</f>
        <v>0.71499999999999997</v>
      </c>
      <c r="F179">
        <f t="shared" si="8"/>
        <v>-4.1666666666666702E-4</v>
      </c>
      <c r="G179">
        <v>-3.2151163464769428E-4</v>
      </c>
      <c r="H179" s="37"/>
      <c r="I179">
        <v>8.3834333166219507E-2</v>
      </c>
      <c r="J179" s="38">
        <f>-VLOOKUP($C179,Profile!$B$5:$K$29,3,TRUE)*($G179+$I179)</f>
        <v>-5.8458975072100268</v>
      </c>
      <c r="K179" s="37"/>
      <c r="O179">
        <v>0.15856154187734012</v>
      </c>
      <c r="P179" s="38">
        <f>VLOOKUP($C179,Profile!$B$5:$K$29,5,TRUE)*$O179</f>
        <v>1.8498846552356345</v>
      </c>
      <c r="Q179">
        <f t="shared" si="10"/>
        <v>174.49246804111382</v>
      </c>
    </row>
    <row r="180" spans="1:17" x14ac:dyDescent="0.25">
      <c r="A180" s="1">
        <v>0.44791666666715502</v>
      </c>
      <c r="B180">
        <f t="shared" si="9"/>
        <v>885</v>
      </c>
      <c r="C180">
        <f t="shared" si="7"/>
        <v>645</v>
      </c>
      <c r="D180">
        <f>VLOOKUP($C180,Profile!$B$5:$K$29,2,TRUE)</f>
        <v>0.72</v>
      </c>
      <c r="E180" s="37">
        <f>VLOOKUP($C180,Profile!$B$5:$K$29,7,TRUE)</f>
        <v>0.71499999999999997</v>
      </c>
      <c r="F180">
        <f t="shared" si="8"/>
        <v>-4.1666666666666702E-4</v>
      </c>
      <c r="G180">
        <v>-3.3978639746027695E-4</v>
      </c>
      <c r="H180" s="37"/>
      <c r="I180">
        <v>7.688666984800191E-2</v>
      </c>
      <c r="J180" s="38">
        <f>-VLOOKUP($C180,Profile!$B$5:$K$29,3,TRUE)*($G180+$I180)</f>
        <v>-5.3582818415379139</v>
      </c>
      <c r="K180" s="37"/>
      <c r="O180">
        <v>0.11505128927471063</v>
      </c>
      <c r="P180" s="38">
        <f>VLOOKUP($C180,Profile!$B$5:$K$29,5,TRUE)*$O180</f>
        <v>1.3422650415382906</v>
      </c>
      <c r="Q180">
        <f t="shared" si="10"/>
        <v>170.47645124111421</v>
      </c>
    </row>
    <row r="181" spans="1:17" x14ac:dyDescent="0.25">
      <c r="A181" s="1">
        <v>0.45138888888937501</v>
      </c>
      <c r="B181">
        <f t="shared" si="9"/>
        <v>890</v>
      </c>
      <c r="C181">
        <f t="shared" si="7"/>
        <v>650</v>
      </c>
      <c r="D181">
        <f>VLOOKUP($C181,Profile!$B$5:$K$29,2,TRUE)</f>
        <v>0.72</v>
      </c>
      <c r="E181" s="37">
        <f>VLOOKUP($C181,Profile!$B$5:$K$29,7,TRUE)</f>
        <v>0.71499999999999997</v>
      </c>
      <c r="F181">
        <f t="shared" si="8"/>
        <v>-4.1666666666666702E-4</v>
      </c>
      <c r="G181">
        <v>-3.5776172165042757E-4</v>
      </c>
      <c r="H181" s="37"/>
      <c r="I181">
        <v>7.016671885943683E-2</v>
      </c>
      <c r="J181" s="38">
        <f>-VLOOKUP($C181,Profile!$B$5:$K$29,3,TRUE)*($G181+$I181)</f>
        <v>-4.8866269996450482</v>
      </c>
      <c r="K181" s="37"/>
      <c r="O181">
        <v>7.4168257762515816E-2</v>
      </c>
      <c r="P181" s="38">
        <f>VLOOKUP($C181,Profile!$B$5:$K$29,5,TRUE)*$O181</f>
        <v>0.86529634056268445</v>
      </c>
      <c r="Q181">
        <f t="shared" si="10"/>
        <v>166.45512058203184</v>
      </c>
    </row>
    <row r="182" spans="1:17" x14ac:dyDescent="0.25">
      <c r="A182" s="1">
        <v>0.454861111111595</v>
      </c>
      <c r="B182">
        <f t="shared" si="9"/>
        <v>895</v>
      </c>
      <c r="C182">
        <f t="shared" si="7"/>
        <v>655</v>
      </c>
      <c r="D182">
        <f>VLOOKUP($C182,Profile!$B$5:$K$29,2,TRUE)</f>
        <v>0.72</v>
      </c>
      <c r="E182" s="37">
        <f>VLOOKUP($C182,Profile!$B$5:$K$29,7,TRUE)</f>
        <v>0.71499999999999997</v>
      </c>
      <c r="F182">
        <f t="shared" si="8"/>
        <v>-4.1666666666666702E-4</v>
      </c>
      <c r="G182">
        <v>-3.7542565311802259E-4</v>
      </c>
      <c r="H182" s="37"/>
      <c r="I182">
        <v>6.3677284448543578E-2</v>
      </c>
      <c r="J182" s="38">
        <f>-VLOOKUP($C182,Profile!$B$5:$K$29,3,TRUE)*($G182+$I182)</f>
        <v>-4.4311301156797889</v>
      </c>
      <c r="K182" s="37"/>
      <c r="O182">
        <v>3.584269335837148E-2</v>
      </c>
      <c r="P182" s="38">
        <f>VLOOKUP($C182,Profile!$B$5:$K$29,5,TRUE)*$O182</f>
        <v>0.41816475584766727</v>
      </c>
      <c r="Q182">
        <f t="shared" si="10"/>
        <v>162.44215522219972</v>
      </c>
    </row>
    <row r="183" spans="1:17" x14ac:dyDescent="0.25">
      <c r="A183" s="1">
        <v>0.45833333333381499</v>
      </c>
      <c r="B183">
        <f t="shared" si="9"/>
        <v>900</v>
      </c>
      <c r="C183">
        <f t="shared" si="7"/>
        <v>660</v>
      </c>
      <c r="D183">
        <f>VLOOKUP($C183,Profile!$B$5:$K$29,2,TRUE)</f>
        <v>0.72</v>
      </c>
      <c r="E183" s="37">
        <f>VLOOKUP($C183,Profile!$B$5:$K$29,7,TRUE)</f>
        <v>0.71499999999999997</v>
      </c>
      <c r="F183">
        <f t="shared" si="8"/>
        <v>-4.1666666666666702E-4</v>
      </c>
      <c r="G183">
        <v>-3.9276799306642974E-4</v>
      </c>
      <c r="H183" s="37"/>
      <c r="I183">
        <v>5.7420084941683311E-2</v>
      </c>
      <c r="J183" s="38">
        <f>-VLOOKUP($C183,Profile!$B$5:$K$29,3,TRUE)*($G183+$I183)</f>
        <v>-3.9919121864031815</v>
      </c>
      <c r="K183" s="37"/>
      <c r="O183">
        <v>0</v>
      </c>
      <c r="P183" s="38">
        <f>VLOOKUP($C183,Profile!$B$5:$K$29,5,TRUE)*$O183</f>
        <v>0</v>
      </c>
      <c r="Q183">
        <f t="shared" si="10"/>
        <v>158.45024303579655</v>
      </c>
    </row>
    <row r="184" spans="1:17" x14ac:dyDescent="0.25">
      <c r="A184" s="1">
        <v>0.46180555555603497</v>
      </c>
      <c r="B184">
        <f t="shared" si="9"/>
        <v>905</v>
      </c>
      <c r="C184">
        <f t="shared" si="7"/>
        <v>665</v>
      </c>
      <c r="D184">
        <f>VLOOKUP($C184,Profile!$B$5:$K$29,2,TRUE)</f>
        <v>0.72</v>
      </c>
      <c r="E184" s="37">
        <f>VLOOKUP($C184,Profile!$B$5:$K$29,7,TRUE)</f>
        <v>0.71499999999999997</v>
      </c>
      <c r="F184">
        <f t="shared" si="8"/>
        <v>-4.1666666666666702E-4</v>
      </c>
      <c r="G184">
        <v>-4.0768489784693938E-4</v>
      </c>
      <c r="H184" s="37"/>
      <c r="I184">
        <v>5.1395859758191727E-2</v>
      </c>
      <c r="J184" s="38">
        <f>-VLOOKUP($C184,Profile!$B$5:$K$29,3,TRUE)*($G184+$I184)</f>
        <v>-3.5691722402241348</v>
      </c>
      <c r="K184" s="37"/>
      <c r="O184">
        <v>0</v>
      </c>
      <c r="P184" s="38">
        <f>VLOOKUP($C184,Profile!$B$5:$K$29,5,TRUE)*$O184</f>
        <v>0</v>
      </c>
      <c r="Q184">
        <f t="shared" si="10"/>
        <v>154.88107079557241</v>
      </c>
    </row>
    <row r="185" spans="1:17" x14ac:dyDescent="0.25">
      <c r="A185" s="1">
        <v>0.46527777777825502</v>
      </c>
      <c r="B185">
        <f t="shared" si="9"/>
        <v>910</v>
      </c>
      <c r="C185">
        <f t="shared" si="7"/>
        <v>670</v>
      </c>
      <c r="D185">
        <f>VLOOKUP($C185,Profile!$B$5:$K$29,2,TRUE)</f>
        <v>0.72</v>
      </c>
      <c r="E185" s="37">
        <f>VLOOKUP($C185,Profile!$B$5:$K$29,7,TRUE)</f>
        <v>0.71499999999999997</v>
      </c>
      <c r="F185">
        <f t="shared" si="8"/>
        <v>-4.1666666666666702E-4</v>
      </c>
      <c r="G185">
        <v>-4.2028573515676837E-4</v>
      </c>
      <c r="H185" s="37"/>
      <c r="I185">
        <v>4.5604468394823031E-2</v>
      </c>
      <c r="J185" s="38">
        <f>-VLOOKUP($C185,Profile!$B$5:$K$29,3,TRUE)*($G185+$I185)</f>
        <v>-3.1628927861766383</v>
      </c>
      <c r="K185" s="37"/>
      <c r="O185">
        <v>0</v>
      </c>
      <c r="P185" s="38">
        <f>VLOOKUP($C185,Profile!$B$5:$K$29,5,TRUE)*$O185</f>
        <v>0</v>
      </c>
      <c r="Q185">
        <f t="shared" si="10"/>
        <v>151.71817800939579</v>
      </c>
    </row>
    <row r="186" spans="1:17" x14ac:dyDescent="0.25">
      <c r="A186" s="1">
        <v>0.46875000000047401</v>
      </c>
      <c r="B186">
        <f t="shared" si="9"/>
        <v>915</v>
      </c>
      <c r="C186">
        <f t="shared" si="7"/>
        <v>675</v>
      </c>
      <c r="D186">
        <f>VLOOKUP($C186,Profile!$B$5:$K$29,2,TRUE)</f>
        <v>0.72</v>
      </c>
      <c r="E186" s="37">
        <f>VLOOKUP($C186,Profile!$B$5:$K$29,7,TRUE)</f>
        <v>0.71499999999999997</v>
      </c>
      <c r="F186">
        <f t="shared" si="8"/>
        <v>-4.1666666666666702E-4</v>
      </c>
      <c r="G186">
        <v>-4.3067793536975455E-4</v>
      </c>
      <c r="H186" s="37"/>
      <c r="I186">
        <v>4.004498190976858E-2</v>
      </c>
      <c r="J186" s="38">
        <f>-VLOOKUP($C186,Profile!$B$5:$K$29,3,TRUE)*($G186+$I186)</f>
        <v>-2.7730012782079179</v>
      </c>
      <c r="K186" s="37"/>
      <c r="O186">
        <v>0</v>
      </c>
      <c r="P186" s="38">
        <f>VLOOKUP($C186,Profile!$B$5:$K$29,5,TRUE)*$O186</f>
        <v>0</v>
      </c>
      <c r="Q186">
        <f t="shared" si="10"/>
        <v>148.94517673118787</v>
      </c>
    </row>
    <row r="187" spans="1:17" x14ac:dyDescent="0.25">
      <c r="A187" s="1">
        <v>0.472222222222694</v>
      </c>
      <c r="B187">
        <f t="shared" si="9"/>
        <v>920</v>
      </c>
      <c r="C187">
        <f t="shared" si="7"/>
        <v>680</v>
      </c>
      <c r="D187">
        <f>VLOOKUP($C187,Profile!$B$5:$K$29,2,TRUE)</f>
        <v>0.72</v>
      </c>
      <c r="E187" s="37">
        <f>VLOOKUP($C187,Profile!$B$5:$K$29,7,TRUE)</f>
        <v>0.71499999999999997</v>
      </c>
      <c r="F187">
        <f t="shared" si="8"/>
        <v>-4.1666666666666702E-4</v>
      </c>
      <c r="G187">
        <v>-4.3896682340614524E-4</v>
      </c>
      <c r="H187" s="37"/>
      <c r="I187">
        <v>3.471576740365729E-2</v>
      </c>
      <c r="J187" s="38">
        <f>-VLOOKUP($C187,Profile!$B$5:$K$29,3,TRUE)*($G187+$I187)</f>
        <v>-2.3993760406175801</v>
      </c>
      <c r="K187" s="37"/>
      <c r="O187">
        <v>0</v>
      </c>
      <c r="P187" s="38">
        <f>VLOOKUP($C187,Profile!$B$5:$K$29,5,TRUE)*$O187</f>
        <v>0</v>
      </c>
      <c r="Q187">
        <f t="shared" si="10"/>
        <v>146.5458006905703</v>
      </c>
    </row>
    <row r="188" spans="1:17" x14ac:dyDescent="0.25">
      <c r="A188" s="1">
        <v>0.47569444444491399</v>
      </c>
      <c r="B188">
        <f t="shared" si="9"/>
        <v>925</v>
      </c>
      <c r="C188">
        <f t="shared" si="7"/>
        <v>685</v>
      </c>
      <c r="D188">
        <f>VLOOKUP($C188,Profile!$B$5:$K$29,2,TRUE)</f>
        <v>0.72</v>
      </c>
      <c r="E188" s="37">
        <f>VLOOKUP($C188,Profile!$B$5:$K$29,7,TRUE)</f>
        <v>0.71499999999999997</v>
      </c>
      <c r="F188">
        <f t="shared" si="8"/>
        <v>-4.1666666666666702E-4</v>
      </c>
      <c r="G188">
        <v>-4.4525547452751465E-4</v>
      </c>
      <c r="H188" s="37"/>
      <c r="I188">
        <v>2.9614565964468573E-2</v>
      </c>
      <c r="J188" s="38">
        <f>-VLOOKUP($C188,Profile!$B$5:$K$29,3,TRUE)*($G188+$I188)</f>
        <v>-2.0418517342958742</v>
      </c>
      <c r="K188" s="37"/>
      <c r="O188">
        <v>0</v>
      </c>
      <c r="P188" s="38">
        <f>VLOOKUP($C188,Profile!$B$5:$K$29,5,TRUE)*$O188</f>
        <v>0</v>
      </c>
      <c r="Q188">
        <f t="shared" si="10"/>
        <v>144.50394895627443</v>
      </c>
    </row>
    <row r="189" spans="1:17" x14ac:dyDescent="0.25">
      <c r="A189" s="1">
        <v>0.47916666666713398</v>
      </c>
      <c r="B189">
        <f t="shared" si="9"/>
        <v>930</v>
      </c>
      <c r="C189">
        <f t="shared" si="7"/>
        <v>690</v>
      </c>
      <c r="D189">
        <f>VLOOKUP($C189,Profile!$B$5:$K$29,2,TRUE)</f>
        <v>0.72</v>
      </c>
      <c r="E189" s="37">
        <f>VLOOKUP($C189,Profile!$B$5:$K$29,7,TRUE)</f>
        <v>0.71499999999999997</v>
      </c>
      <c r="F189">
        <f t="shared" si="8"/>
        <v>-4.1666666666666702E-4</v>
      </c>
      <c r="G189">
        <v>-4.4964459204897231E-4</v>
      </c>
      <c r="H189" s="37"/>
      <c r="I189">
        <v>2.4738564514579023E-2</v>
      </c>
      <c r="J189" s="38">
        <f>-VLOOKUP($C189,Profile!$B$5:$K$29,3,TRUE)*($G189+$I189)</f>
        <v>-1.7002243945771036</v>
      </c>
      <c r="K189" s="37"/>
      <c r="O189">
        <v>0</v>
      </c>
      <c r="P189" s="38">
        <f>VLOOKUP($C189,Profile!$B$5:$K$29,5,TRUE)*$O189</f>
        <v>0</v>
      </c>
      <c r="Q189">
        <f t="shared" si="10"/>
        <v>142.80372456169732</v>
      </c>
    </row>
    <row r="190" spans="1:17" x14ac:dyDescent="0.25">
      <c r="A190" s="1">
        <v>0.48263888888935402</v>
      </c>
      <c r="B190">
        <f t="shared" si="9"/>
        <v>935</v>
      </c>
      <c r="C190">
        <f t="shared" si="7"/>
        <v>695</v>
      </c>
      <c r="D190">
        <f>VLOOKUP($C190,Profile!$B$5:$K$29,2,TRUE)</f>
        <v>0.72</v>
      </c>
      <c r="E190" s="37">
        <f>VLOOKUP($C190,Profile!$B$5:$K$29,7,TRUE)</f>
        <v>0.71499999999999997</v>
      </c>
      <c r="F190">
        <f t="shared" si="8"/>
        <v>-4.1666666666666702E-4</v>
      </c>
      <c r="G190">
        <v>-4.5223240510083997E-4</v>
      </c>
      <c r="H190" s="37"/>
      <c r="I190">
        <v>2.008446197112974E-2</v>
      </c>
      <c r="J190" s="38">
        <f>-VLOOKUP($C190,Profile!$B$5:$K$29,3,TRUE)*($G190+$I190)</f>
        <v>-1.3742560696220232</v>
      </c>
      <c r="K190" s="37"/>
      <c r="O190">
        <v>0</v>
      </c>
      <c r="P190" s="38">
        <f>VLOOKUP($C190,Profile!$B$5:$K$29,5,TRUE)*$O190</f>
        <v>0</v>
      </c>
      <c r="Q190">
        <f t="shared" si="10"/>
        <v>141.4294684920753</v>
      </c>
    </row>
    <row r="191" spans="1:17" x14ac:dyDescent="0.25">
      <c r="A191" s="1">
        <v>0.48611111111157401</v>
      </c>
      <c r="B191">
        <f t="shared" si="9"/>
        <v>940</v>
      </c>
      <c r="C191">
        <f t="shared" si="7"/>
        <v>700</v>
      </c>
      <c r="D191">
        <f>VLOOKUP($C191,Profile!$B$5:$K$29,2,TRUE)</f>
        <v>0.72</v>
      </c>
      <c r="E191" s="37">
        <f>VLOOKUP($C191,Profile!$B$5:$K$29,7,TRUE)</f>
        <v>0.71499999999999997</v>
      </c>
      <c r="F191">
        <f t="shared" si="8"/>
        <v>-4.1666666666666702E-4</v>
      </c>
      <c r="G191">
        <v>-4.5311458470315922E-4</v>
      </c>
      <c r="H191" s="37"/>
      <c r="I191">
        <v>1.5648530105443169E-2</v>
      </c>
      <c r="J191" s="38">
        <f>-VLOOKUP($C191,Profile!$B$5:$K$29,3,TRUE)*($G191+$I191)</f>
        <v>-1.0636790864518006</v>
      </c>
      <c r="K191" s="37"/>
      <c r="O191">
        <v>0</v>
      </c>
      <c r="P191" s="38">
        <f>VLOOKUP($C191,Profile!$B$5:$K$29,5,TRUE)*$O191</f>
        <v>0</v>
      </c>
      <c r="Q191">
        <f t="shared" si="10"/>
        <v>140.3657894056235</v>
      </c>
    </row>
    <row r="192" spans="1:17" x14ac:dyDescent="0.25">
      <c r="A192" s="1">
        <v>0.489583333333794</v>
      </c>
      <c r="B192">
        <f t="shared" si="9"/>
        <v>945</v>
      </c>
      <c r="C192">
        <f t="shared" si="7"/>
        <v>705</v>
      </c>
      <c r="D192">
        <f>VLOOKUP($C192,Profile!$B$5:$K$29,2,TRUE)</f>
        <v>0.72</v>
      </c>
      <c r="E192" s="37">
        <f>VLOOKUP($C192,Profile!$B$5:$K$29,7,TRUE)</f>
        <v>0.71499999999999997</v>
      </c>
      <c r="F192">
        <f t="shared" si="8"/>
        <v>-4.1666666666666702E-4</v>
      </c>
      <c r="G192">
        <v>-4.5238417653925648E-4</v>
      </c>
      <c r="H192" s="37"/>
      <c r="I192">
        <v>1.1426669463251734E-2</v>
      </c>
      <c r="J192" s="38">
        <f>-VLOOKUP($C192,Profile!$B$5:$K$29,3,TRUE)*($G192+$I192)</f>
        <v>-0.76819997006987339</v>
      </c>
      <c r="K192" s="37"/>
      <c r="O192">
        <v>0</v>
      </c>
      <c r="P192" s="38">
        <f>VLOOKUP($C192,Profile!$B$5:$K$29,5,TRUE)*$O192</f>
        <v>0</v>
      </c>
      <c r="Q192">
        <f t="shared" si="10"/>
        <v>139.59758943555363</v>
      </c>
    </row>
    <row r="193" spans="1:17" x14ac:dyDescent="0.25">
      <c r="A193" s="1">
        <v>0.49305555555601399</v>
      </c>
      <c r="B193">
        <f t="shared" si="9"/>
        <v>950</v>
      </c>
      <c r="C193">
        <f t="shared" si="7"/>
        <v>710</v>
      </c>
      <c r="D193">
        <f>VLOOKUP($C193,Profile!$B$5:$K$29,2,TRUE)</f>
        <v>0.72</v>
      </c>
      <c r="E193" s="37">
        <f>VLOOKUP($C193,Profile!$B$5:$K$29,7,TRUE)</f>
        <v>0.71499999999999997</v>
      </c>
      <c r="F193">
        <f t="shared" si="8"/>
        <v>-4.1666666666666702E-4</v>
      </c>
      <c r="G193">
        <v>-4.5013154892962413E-4</v>
      </c>
      <c r="H193" s="37"/>
      <c r="I193">
        <v>7.4144606849381595E-3</v>
      </c>
      <c r="J193" s="38">
        <f>-VLOOKUP($C193,Profile!$B$5:$K$29,3,TRUE)*($G193+$I193)</f>
        <v>-0.48750303952059748</v>
      </c>
      <c r="K193" s="37"/>
      <c r="O193">
        <v>0</v>
      </c>
      <c r="P193" s="38">
        <f>VLOOKUP($C193,Profile!$B$5:$K$29,5,TRUE)*$O193</f>
        <v>0</v>
      </c>
      <c r="Q193">
        <f t="shared" si="10"/>
        <v>139.11008639603304</v>
      </c>
    </row>
    <row r="194" spans="1:17" x14ac:dyDescent="0.25">
      <c r="A194" s="1">
        <v>0.49652777777823298</v>
      </c>
      <c r="B194">
        <f t="shared" si="9"/>
        <v>955</v>
      </c>
      <c r="C194">
        <f t="shared" si="7"/>
        <v>715</v>
      </c>
      <c r="D194">
        <f>VLOOKUP($C194,Profile!$B$5:$K$29,2,TRUE)</f>
        <v>0.72</v>
      </c>
      <c r="E194" s="37">
        <f>VLOOKUP($C194,Profile!$B$5:$K$29,7,TRUE)</f>
        <v>0.71499999999999997</v>
      </c>
      <c r="F194">
        <f t="shared" si="8"/>
        <v>-4.1666666666666702E-4</v>
      </c>
      <c r="G194">
        <v>-4.4644435461506116E-4</v>
      </c>
      <c r="H194" s="37"/>
      <c r="I194">
        <v>3.6072115437541514E-3</v>
      </c>
      <c r="J194" s="38">
        <f>-VLOOKUP($C194,Profile!$B$5:$K$29,3,TRUE)*($G194+$I194)</f>
        <v>-0.22125370323973631</v>
      </c>
      <c r="K194" s="37"/>
      <c r="O194">
        <v>0</v>
      </c>
      <c r="P194" s="38">
        <f>VLOOKUP($C194,Profile!$B$5:$K$29,5,TRUE)*$O194</f>
        <v>0</v>
      </c>
      <c r="Q194">
        <f t="shared" si="10"/>
        <v>138.8888326927933</v>
      </c>
    </row>
    <row r="195" spans="1:17" x14ac:dyDescent="0.25">
      <c r="A195" s="1">
        <v>0.50000000000045297</v>
      </c>
      <c r="B195">
        <f t="shared" si="9"/>
        <v>960</v>
      </c>
      <c r="C195">
        <f t="shared" ref="C195:C258" si="11">MOD(INT(A195/Minute),1440)</f>
        <v>720</v>
      </c>
      <c r="D195">
        <f>VLOOKUP($C195,Profile!$B$5:$K$29,2,TRUE)</f>
        <v>0.72</v>
      </c>
      <c r="E195" s="37">
        <f>VLOOKUP($C195,Profile!$B$5:$K$29,7,TRUE)</f>
        <v>0.71499999999999997</v>
      </c>
      <c r="F195">
        <f t="shared" si="8"/>
        <v>-4.1666666666666702E-4</v>
      </c>
      <c r="G195">
        <v>-4.4140750505877318E-4</v>
      </c>
      <c r="H195" s="37">
        <v>8</v>
      </c>
      <c r="I195">
        <v>0</v>
      </c>
      <c r="J195" s="38">
        <f>-VLOOKUP($C195,Profile!$B$5:$K$29,3,TRUE)*($G195+$I195)</f>
        <v>3.0898525354114123E-2</v>
      </c>
      <c r="K195" s="37">
        <v>50</v>
      </c>
      <c r="M195">
        <v>300</v>
      </c>
      <c r="O195">
        <v>0</v>
      </c>
      <c r="P195" s="38">
        <f>VLOOKUP($C195,Profile!$B$5:$K$29,5,TRUE)*$O195</f>
        <v>0</v>
      </c>
      <c r="Q195">
        <f t="shared" si="10"/>
        <v>138.9197312181474</v>
      </c>
    </row>
    <row r="196" spans="1:17" x14ac:dyDescent="0.25">
      <c r="A196" s="1">
        <v>0.50347222222267296</v>
      </c>
      <c r="B196">
        <f t="shared" si="9"/>
        <v>965</v>
      </c>
      <c r="C196">
        <f t="shared" si="11"/>
        <v>725</v>
      </c>
      <c r="D196">
        <f>VLOOKUP($C196,Profile!$B$5:$K$29,2,TRUE)</f>
        <v>0.72</v>
      </c>
      <c r="E196" s="37">
        <f>VLOOKUP($C196,Profile!$B$5:$K$29,7,TRUE)</f>
        <v>0.71499999999999997</v>
      </c>
      <c r="F196">
        <f t="shared" ref="F196:F259" si="12">+(E196-D196)/12</f>
        <v>-4.1666666666666702E-4</v>
      </c>
      <c r="G196">
        <v>-4.368990963080545E-4</v>
      </c>
      <c r="H196" s="37"/>
      <c r="I196">
        <v>3.9999324607892996E-2</v>
      </c>
      <c r="J196" s="38">
        <f>-VLOOKUP($C196,Profile!$B$5:$K$29,3,TRUE)*($G196+$I196)</f>
        <v>-2.7693697858109458</v>
      </c>
      <c r="K196" s="37"/>
      <c r="O196">
        <v>0.35888474882446864</v>
      </c>
      <c r="P196" s="38">
        <f>VLOOKUP($C196,Profile!$B$5:$K$29,5,TRUE)*$O196</f>
        <v>4.1869887362854676</v>
      </c>
      <c r="Q196">
        <f t="shared" si="10"/>
        <v>140.33735016862192</v>
      </c>
    </row>
    <row r="197" spans="1:17" x14ac:dyDescent="0.25">
      <c r="A197" s="1">
        <v>0.50694444444489295</v>
      </c>
      <c r="B197">
        <f t="shared" ref="B197:B260" si="13">+B196+5</f>
        <v>970</v>
      </c>
      <c r="C197">
        <f t="shared" si="11"/>
        <v>730</v>
      </c>
      <c r="D197">
        <f>VLOOKUP($C197,Profile!$B$5:$K$29,2,TRUE)</f>
        <v>0.72</v>
      </c>
      <c r="E197" s="37">
        <f>VLOOKUP($C197,Profile!$B$5:$K$29,7,TRUE)</f>
        <v>0.71499999999999997</v>
      </c>
      <c r="F197">
        <f t="shared" si="12"/>
        <v>-4.1666666666666702E-4</v>
      </c>
      <c r="G197">
        <v>-4.3289870434359633E-4</v>
      </c>
      <c r="H197" s="37"/>
      <c r="I197">
        <v>7.5224040842892137E-2</v>
      </c>
      <c r="J197" s="38">
        <f>-VLOOKUP($C197,Profile!$B$5:$K$29,3,TRUE)*($G197+$I197)</f>
        <v>-5.2353799496983981</v>
      </c>
      <c r="K197" s="37"/>
      <c r="O197">
        <v>0.66285353299097849</v>
      </c>
      <c r="P197" s="38">
        <f>VLOOKUP($C197,Profile!$B$5:$K$29,5,TRUE)*$O197</f>
        <v>7.7332912182280822</v>
      </c>
      <c r="Q197">
        <f t="shared" si="10"/>
        <v>142.83526143715162</v>
      </c>
    </row>
    <row r="198" spans="1:17" x14ac:dyDescent="0.25">
      <c r="A198" s="1">
        <v>0.51041666666711305</v>
      </c>
      <c r="B198">
        <f t="shared" si="13"/>
        <v>975</v>
      </c>
      <c r="C198">
        <f t="shared" si="11"/>
        <v>735</v>
      </c>
      <c r="D198">
        <f>VLOOKUP($C198,Profile!$B$5:$K$29,2,TRUE)</f>
        <v>0.72</v>
      </c>
      <c r="E198" s="37">
        <f>VLOOKUP($C198,Profile!$B$5:$K$29,7,TRUE)</f>
        <v>0.71499999999999997</v>
      </c>
      <c r="F198">
        <f t="shared" si="12"/>
        <v>-4.1666666666666702E-4</v>
      </c>
      <c r="G198">
        <v>-4.2938598663221317E-4</v>
      </c>
      <c r="H198" s="37"/>
      <c r="I198">
        <v>0.10607005720986529</v>
      </c>
      <c r="J198" s="38">
        <f>-VLOOKUP($C198,Profile!$B$5:$K$29,3,TRUE)*($G198+$I198)</f>
        <v>-7.394846985626315</v>
      </c>
      <c r="K198" s="37"/>
      <c r="O198">
        <v>0.91793576520403286</v>
      </c>
      <c r="P198" s="38">
        <f>VLOOKUP($C198,Profile!$B$5:$K$29,5,TRUE)*$O198</f>
        <v>10.709250594047049</v>
      </c>
      <c r="Q198">
        <f t="shared" si="10"/>
        <v>146.14966504557236</v>
      </c>
    </row>
    <row r="199" spans="1:17" x14ac:dyDescent="0.25">
      <c r="A199" s="1">
        <v>0.51388888888933304</v>
      </c>
      <c r="B199">
        <f t="shared" si="13"/>
        <v>980</v>
      </c>
      <c r="C199">
        <f t="shared" si="11"/>
        <v>740</v>
      </c>
      <c r="D199">
        <f>VLOOKUP($C199,Profile!$B$5:$K$29,2,TRUE)</f>
        <v>0.72</v>
      </c>
      <c r="E199" s="37">
        <f>VLOOKUP($C199,Profile!$B$5:$K$29,7,TRUE)</f>
        <v>0.71499999999999997</v>
      </c>
      <c r="F199">
        <f t="shared" si="12"/>
        <v>-4.1666666666666702E-4</v>
      </c>
      <c r="G199">
        <v>-4.2634074387750629E-4</v>
      </c>
      <c r="H199" s="37"/>
      <c r="I199">
        <v>0.1329054328059453</v>
      </c>
      <c r="J199" s="38">
        <f>-VLOOKUP($C199,Profile!$B$5:$K$29,3,TRUE)*($G199+$I199)</f>
        <v>-9.2735364443447459</v>
      </c>
      <c r="K199" s="37"/>
      <c r="O199">
        <v>1.1295898836200169</v>
      </c>
      <c r="P199" s="38">
        <f>VLOOKUP($C199,Profile!$B$5:$K$29,5,TRUE)*$O199</f>
        <v>13.17854864223353</v>
      </c>
      <c r="Q199">
        <f t="shared" si="10"/>
        <v>150.05467724346113</v>
      </c>
    </row>
    <row r="200" spans="1:17" x14ac:dyDescent="0.25">
      <c r="A200" s="1">
        <v>0.51736111111155303</v>
      </c>
      <c r="B200">
        <f t="shared" si="13"/>
        <v>985</v>
      </c>
      <c r="C200">
        <f t="shared" si="11"/>
        <v>745</v>
      </c>
      <c r="D200">
        <f>VLOOKUP($C200,Profile!$B$5:$K$29,2,TRUE)</f>
        <v>0.72</v>
      </c>
      <c r="E200" s="37">
        <f>VLOOKUP($C200,Profile!$B$5:$K$29,7,TRUE)</f>
        <v>0.71499999999999997</v>
      </c>
      <c r="F200">
        <f t="shared" si="12"/>
        <v>-4.1666666666666702E-4</v>
      </c>
      <c r="G200">
        <v>-4.237429749332548E-4</v>
      </c>
      <c r="H200" s="37"/>
      <c r="I200">
        <v>0.15607215699552968</v>
      </c>
      <c r="J200" s="38">
        <f>-VLOOKUP($C200,Profile!$B$5:$K$29,3,TRUE)*($G200+$I200)</f>
        <v>-10.89538898144175</v>
      </c>
      <c r="K200" s="37"/>
      <c r="O200">
        <v>1.3027529481295286</v>
      </c>
      <c r="P200" s="38">
        <f>VLOOKUP($C200,Profile!$B$5:$K$29,5,TRUE)*$O200</f>
        <v>15.1987843948445</v>
      </c>
      <c r="Q200">
        <f t="shared" si="10"/>
        <v>154.35807265686387</v>
      </c>
    </row>
    <row r="201" spans="1:17" x14ac:dyDescent="0.25">
      <c r="A201" s="1">
        <v>0.52083333333377302</v>
      </c>
      <c r="B201">
        <f t="shared" si="13"/>
        <v>990</v>
      </c>
      <c r="C201">
        <f t="shared" si="11"/>
        <v>750</v>
      </c>
      <c r="D201">
        <f>VLOOKUP($C201,Profile!$B$5:$K$29,2,TRUE)</f>
        <v>0.72</v>
      </c>
      <c r="E201" s="37">
        <f>VLOOKUP($C201,Profile!$B$5:$K$29,7,TRUE)</f>
        <v>0.71499999999999997</v>
      </c>
      <c r="F201">
        <f t="shared" si="12"/>
        <v>-4.1666666666666702E-4</v>
      </c>
      <c r="G201">
        <v>-4.2157292541443204E-4</v>
      </c>
      <c r="H201" s="37"/>
      <c r="I201">
        <v>0.17588782235261013</v>
      </c>
      <c r="J201" s="38">
        <f>-VLOOKUP($C201,Profile!$B$5:$K$29,3,TRUE)*($G201+$I201)</f>
        <v>-12.2826374599037</v>
      </c>
      <c r="K201" s="37"/>
      <c r="O201">
        <v>1.4418861687916114</v>
      </c>
      <c r="P201" s="38">
        <f>VLOOKUP($C201,Profile!$B$5:$K$29,5,TRUE)*$O201</f>
        <v>16.822005302568797</v>
      </c>
      <c r="Q201">
        <f t="shared" si="10"/>
        <v>158.89744049952895</v>
      </c>
    </row>
    <row r="202" spans="1:17" x14ac:dyDescent="0.25">
      <c r="A202" s="1">
        <v>0.52430555555599201</v>
      </c>
      <c r="B202">
        <f t="shared" si="13"/>
        <v>995</v>
      </c>
      <c r="C202">
        <f t="shared" si="11"/>
        <v>755</v>
      </c>
      <c r="D202">
        <f>VLOOKUP($C202,Profile!$B$5:$K$29,2,TRUE)</f>
        <v>0.72</v>
      </c>
      <c r="E202" s="37">
        <f>VLOOKUP($C202,Profile!$B$5:$K$29,7,TRUE)</f>
        <v>0.71499999999999997</v>
      </c>
      <c r="F202">
        <f t="shared" si="12"/>
        <v>-4.1666666666666702E-4</v>
      </c>
      <c r="G202">
        <v>-4.198111305046838E-4</v>
      </c>
      <c r="H202" s="37"/>
      <c r="I202">
        <v>0.19264719698824331</v>
      </c>
      <c r="J202" s="38">
        <f>-VLOOKUP($C202,Profile!$B$5:$K$29,3,TRUE)*($G202+$I202)</f>
        <v>-13.455917010041704</v>
      </c>
      <c r="K202" s="37"/>
      <c r="O202">
        <v>1.551016686609975</v>
      </c>
      <c r="P202" s="38">
        <f>VLOOKUP($C202,Profile!$B$5:$K$29,5,TRUE)*$O202</f>
        <v>18.095194677116375</v>
      </c>
      <c r="Q202">
        <f t="shared" si="10"/>
        <v>163.53671816660363</v>
      </c>
    </row>
    <row r="203" spans="1:17" x14ac:dyDescent="0.25">
      <c r="A203" s="1">
        <v>0.527777777778212</v>
      </c>
      <c r="B203">
        <f t="shared" si="13"/>
        <v>1000</v>
      </c>
      <c r="C203">
        <f t="shared" si="11"/>
        <v>760</v>
      </c>
      <c r="D203">
        <f>VLOOKUP($C203,Profile!$B$5:$K$29,2,TRUE)</f>
        <v>0.72</v>
      </c>
      <c r="E203" s="37">
        <f>VLOOKUP($C203,Profile!$B$5:$K$29,7,TRUE)</f>
        <v>0.71499999999999997</v>
      </c>
      <c r="F203">
        <f t="shared" si="12"/>
        <v>-4.1666666666666702E-4</v>
      </c>
      <c r="G203">
        <v>-4.1843845242525902E-4</v>
      </c>
      <c r="H203" s="37"/>
      <c r="I203">
        <v>0.2066237020420196</v>
      </c>
      <c r="J203" s="38">
        <f>-VLOOKUP($C203,Profile!$B$5:$K$29,3,TRUE)*($G203+$I203)</f>
        <v>-14.434368451271604</v>
      </c>
      <c r="K203" s="37"/>
      <c r="O203">
        <v>1.6337759024094973</v>
      </c>
      <c r="P203" s="38">
        <f>VLOOKUP($C203,Profile!$B$5:$K$29,5,TRUE)*$O203</f>
        <v>19.060718861444133</v>
      </c>
      <c r="Q203">
        <f t="shared" si="10"/>
        <v>168.16306857677617</v>
      </c>
    </row>
    <row r="204" spans="1:17" x14ac:dyDescent="0.25">
      <c r="A204" s="1">
        <v>0.53125000000043199</v>
      </c>
      <c r="B204">
        <f t="shared" si="13"/>
        <v>1005</v>
      </c>
      <c r="C204">
        <f t="shared" si="11"/>
        <v>765</v>
      </c>
      <c r="D204">
        <f>VLOOKUP($C204,Profile!$B$5:$K$29,2,TRUE)</f>
        <v>0.72</v>
      </c>
      <c r="E204" s="37">
        <f>VLOOKUP($C204,Profile!$B$5:$K$29,7,TRUE)</f>
        <v>0.71499999999999997</v>
      </c>
      <c r="F204">
        <f t="shared" si="12"/>
        <v>-4.1666666666666702E-4</v>
      </c>
      <c r="G204">
        <v>-4.1743611299865799E-4</v>
      </c>
      <c r="H204" s="37"/>
      <c r="I204">
        <v>0.21807079979572436</v>
      </c>
      <c r="J204" s="38">
        <f>-VLOOKUP($C204,Profile!$B$5:$K$29,3,TRUE)*($G204+$I204)</f>
        <v>-15.235735457790799</v>
      </c>
      <c r="K204" s="37"/>
      <c r="O204">
        <v>1.6934346269589193</v>
      </c>
      <c r="P204" s="38">
        <f>VLOOKUP($C204,Profile!$B$5:$K$29,5,TRUE)*$O204</f>
        <v>19.756737314520723</v>
      </c>
      <c r="Q204">
        <f t="shared" si="10"/>
        <v>172.68407043350609</v>
      </c>
    </row>
    <row r="205" spans="1:17" x14ac:dyDescent="0.25">
      <c r="A205" s="1">
        <v>0.53472222222265198</v>
      </c>
      <c r="B205">
        <f t="shared" si="13"/>
        <v>1010</v>
      </c>
      <c r="C205">
        <f t="shared" si="11"/>
        <v>770</v>
      </c>
      <c r="D205">
        <f>VLOOKUP($C205,Profile!$B$5:$K$29,2,TRUE)</f>
        <v>0.72</v>
      </c>
      <c r="E205" s="37">
        <f>VLOOKUP($C205,Profile!$B$5:$K$29,7,TRUE)</f>
        <v>0.71499999999999997</v>
      </c>
      <c r="F205">
        <f t="shared" si="12"/>
        <v>-4.1666666666666702E-4</v>
      </c>
      <c r="G205">
        <v>-4.1678572171050546E-4</v>
      </c>
      <c r="H205" s="37"/>
      <c r="I205">
        <v>0.22722329756404505</v>
      </c>
      <c r="J205" s="38">
        <f>-VLOOKUP($C205,Profile!$B$5:$K$29,3,TRUE)*($G205+$I205)</f>
        <v>-15.876455828963419</v>
      </c>
      <c r="K205" s="37"/>
      <c r="O205">
        <v>1.732935304559776</v>
      </c>
      <c r="P205" s="38">
        <f>VLOOKUP($C205,Profile!$B$5:$K$29,5,TRUE)*$O205</f>
        <v>20.217578553197384</v>
      </c>
      <c r="Q205">
        <f t="shared" si="10"/>
        <v>177.02519315774003</v>
      </c>
    </row>
    <row r="206" spans="1:17" x14ac:dyDescent="0.25">
      <c r="A206" s="1">
        <v>0.53819444444487197</v>
      </c>
      <c r="B206">
        <f t="shared" si="13"/>
        <v>1015</v>
      </c>
      <c r="C206">
        <f t="shared" si="11"/>
        <v>775</v>
      </c>
      <c r="D206">
        <f>VLOOKUP($C206,Profile!$B$5:$K$29,2,TRUE)</f>
        <v>0.72</v>
      </c>
      <c r="E206" s="37">
        <f>VLOOKUP($C206,Profile!$B$5:$K$29,7,TRUE)</f>
        <v>0.71499999999999997</v>
      </c>
      <c r="F206">
        <f t="shared" si="12"/>
        <v>-4.1666666666666702E-4</v>
      </c>
      <c r="G206">
        <v>-4.1646929964526388E-4</v>
      </c>
      <c r="H206" s="37"/>
      <c r="I206">
        <v>0.23429857223024236</v>
      </c>
      <c r="J206" s="38">
        <f>-VLOOKUP($C206,Profile!$B$5:$K$29,3,TRUE)*($G206+$I206)</f>
        <v>-16.371747205141798</v>
      </c>
      <c r="K206" s="37"/>
      <c r="O206">
        <v>1.7549215429590026</v>
      </c>
      <c r="P206" s="38">
        <f>VLOOKUP($C206,Profile!$B$5:$K$29,5,TRUE)*$O206</f>
        <v>20.474084667855028</v>
      </c>
      <c r="Q206">
        <f t="shared" si="10"/>
        <v>181.12753062045329</v>
      </c>
    </row>
    <row r="207" spans="1:17" x14ac:dyDescent="0.25">
      <c r="A207" s="1">
        <v>0.54166666666709196</v>
      </c>
      <c r="B207">
        <f t="shared" si="13"/>
        <v>1020</v>
      </c>
      <c r="C207">
        <f t="shared" si="11"/>
        <v>780</v>
      </c>
      <c r="D207">
        <f>VLOOKUP($C207,Profile!$B$5:$K$29,2,TRUE)</f>
        <v>0.73</v>
      </c>
      <c r="E207" s="37">
        <f>VLOOKUP($C207,Profile!$B$5:$K$29,7,TRUE)</f>
        <v>0.71499999999999997</v>
      </c>
      <c r="F207">
        <f t="shared" si="12"/>
        <v>-1.2500000000000011E-3</v>
      </c>
      <c r="G207">
        <v>-4.1646929964526388E-4</v>
      </c>
      <c r="H207" s="37"/>
      <c r="I207">
        <v>0.23949772002330882</v>
      </c>
      <c r="J207" s="38">
        <f>-VLOOKUP($C207,Profile!$B$5:$K$29,3,TRUE)*($G207+$I207)</f>
        <v>-16.735687550656451</v>
      </c>
      <c r="K207" s="37"/>
      <c r="O207">
        <v>1.7617651645288259</v>
      </c>
      <c r="P207" s="38">
        <f>VLOOKUP($C207,Profile!$B$5:$K$29,5,TRUE)*$O207</f>
        <v>20.553926919502967</v>
      </c>
      <c r="Q207">
        <f t="shared" si="10"/>
        <v>184.94576998929981</v>
      </c>
    </row>
    <row r="208" spans="1:17" x14ac:dyDescent="0.25">
      <c r="A208" s="1">
        <v>0.54513888888931195</v>
      </c>
      <c r="B208">
        <f t="shared" si="13"/>
        <v>1025</v>
      </c>
      <c r="C208">
        <f t="shared" si="11"/>
        <v>785</v>
      </c>
      <c r="D208">
        <f>VLOOKUP($C208,Profile!$B$5:$K$29,2,TRUE)</f>
        <v>0.73</v>
      </c>
      <c r="E208" s="37">
        <f>VLOOKUP($C208,Profile!$B$5:$K$29,7,TRUE)</f>
        <v>0.71499999999999997</v>
      </c>
      <c r="F208">
        <f t="shared" si="12"/>
        <v>-1.2500000000000011E-3</v>
      </c>
      <c r="G208">
        <v>-4.2063589595858606E-4</v>
      </c>
      <c r="H208" s="37"/>
      <c r="I208">
        <v>0.24300663587645643</v>
      </c>
      <c r="J208" s="38">
        <f>-VLOOKUP($C208,Profile!$B$5:$K$29,3,TRUE)*($G208+$I208)</f>
        <v>-16.981019998634849</v>
      </c>
      <c r="K208" s="37"/>
      <c r="O208">
        <v>1.7555909770863125</v>
      </c>
      <c r="P208" s="38">
        <f>VLOOKUP($C208,Profile!$B$5:$K$29,5,TRUE)*$O208</f>
        <v>20.481894732673645</v>
      </c>
      <c r="Q208">
        <f t="shared" si="10"/>
        <v>188.44664472333861</v>
      </c>
    </row>
    <row r="209" spans="1:17" x14ac:dyDescent="0.25">
      <c r="A209" s="1">
        <v>0.54861111111153205</v>
      </c>
      <c r="B209">
        <f t="shared" si="13"/>
        <v>1030</v>
      </c>
      <c r="C209">
        <f t="shared" si="11"/>
        <v>790</v>
      </c>
      <c r="D209">
        <f>VLOOKUP($C209,Profile!$B$5:$K$29,2,TRUE)</f>
        <v>0.73</v>
      </c>
      <c r="E209" s="37">
        <f>VLOOKUP($C209,Profile!$B$5:$K$29,7,TRUE)</f>
        <v>0.71499999999999997</v>
      </c>
      <c r="F209">
        <f t="shared" si="12"/>
        <v>-1.2500000000000011E-3</v>
      </c>
      <c r="G209">
        <v>-4.284717335463873E-4</v>
      </c>
      <c r="H209" s="37"/>
      <c r="I209">
        <v>0.24499702646403082</v>
      </c>
      <c r="J209" s="38">
        <f>-VLOOKUP($C209,Profile!$B$5:$K$29,3,TRUE)*($G209+$I209)</f>
        <v>-17.11979883113391</v>
      </c>
      <c r="K209" s="37"/>
      <c r="O209">
        <v>1.7382994473977693</v>
      </c>
      <c r="P209" s="38">
        <f>VLOOKUP($C209,Profile!$B$5:$K$29,5,TRUE)*$O209</f>
        <v>20.280160219640642</v>
      </c>
      <c r="Q209">
        <f t="shared" si="10"/>
        <v>191.60700611184532</v>
      </c>
    </row>
    <row r="210" spans="1:17" x14ac:dyDescent="0.25">
      <c r="A210" s="1">
        <v>0.55208333333375204</v>
      </c>
      <c r="B210">
        <f t="shared" si="13"/>
        <v>1035</v>
      </c>
      <c r="C210">
        <f t="shared" si="11"/>
        <v>795</v>
      </c>
      <c r="D210">
        <f>VLOOKUP($C210,Profile!$B$5:$K$29,2,TRUE)</f>
        <v>0.73</v>
      </c>
      <c r="E210" s="37">
        <f>VLOOKUP($C210,Profile!$B$5:$K$29,7,TRUE)</f>
        <v>0.71499999999999997</v>
      </c>
      <c r="F210">
        <f t="shared" si="12"/>
        <v>-1.2500000000000011E-3</v>
      </c>
      <c r="G210">
        <v>-4.395206978390816E-4</v>
      </c>
      <c r="H210" s="37"/>
      <c r="I210">
        <v>0.24562736078439576</v>
      </c>
      <c r="J210" s="38">
        <f>-VLOOKUP($C210,Profile!$B$5:$K$29,3,TRUE)*($G210+$I210)</f>
        <v>-17.163148806058967</v>
      </c>
      <c r="K210" s="37"/>
      <c r="O210">
        <v>1.71158744623861</v>
      </c>
      <c r="P210" s="38">
        <f>VLOOKUP($C210,Profile!$B$5:$K$29,5,TRUE)*$O210</f>
        <v>19.968520206117116</v>
      </c>
      <c r="Q210">
        <f t="shared" si="10"/>
        <v>194.41237751190349</v>
      </c>
    </row>
    <row r="211" spans="1:17" x14ac:dyDescent="0.25">
      <c r="A211" s="1">
        <v>0.55555555555597103</v>
      </c>
      <c r="B211">
        <f t="shared" si="13"/>
        <v>1040</v>
      </c>
      <c r="C211">
        <f t="shared" si="11"/>
        <v>800</v>
      </c>
      <c r="D211">
        <f>VLOOKUP($C211,Profile!$B$5:$K$29,2,TRUE)</f>
        <v>0.73</v>
      </c>
      <c r="E211" s="37">
        <f>VLOOKUP($C211,Profile!$B$5:$K$29,7,TRUE)</f>
        <v>0.71499999999999997</v>
      </c>
      <c r="F211">
        <f t="shared" si="12"/>
        <v>-1.2500000000000011E-3</v>
      </c>
      <c r="G211">
        <v>-4.5336501375636758E-4</v>
      </c>
      <c r="H211" s="37"/>
      <c r="I211">
        <v>0.24504376193927893</v>
      </c>
      <c r="J211" s="38">
        <f>-VLOOKUP($C211,Profile!$B$5:$K$29,3,TRUE)*($G211+$I211)</f>
        <v>-17.12132778478658</v>
      </c>
      <c r="K211" s="37"/>
      <c r="O211">
        <v>1.6769672207725219</v>
      </c>
      <c r="P211" s="38">
        <f>VLOOKUP($C211,Profile!$B$5:$K$29,5,TRUE)*$O211</f>
        <v>19.564617575679421</v>
      </c>
      <c r="Q211">
        <f t="shared" si="10"/>
        <v>196.85566730279632</v>
      </c>
    </row>
    <row r="212" spans="1:17" x14ac:dyDescent="0.25">
      <c r="A212" s="1">
        <v>0.55902777777819102</v>
      </c>
      <c r="B212">
        <f t="shared" si="13"/>
        <v>1045</v>
      </c>
      <c r="C212">
        <f t="shared" si="11"/>
        <v>805</v>
      </c>
      <c r="D212">
        <f>VLOOKUP($C212,Profile!$B$5:$K$29,2,TRUE)</f>
        <v>0.73</v>
      </c>
      <c r="E212" s="37">
        <f>VLOOKUP($C212,Profile!$B$5:$K$29,7,TRUE)</f>
        <v>0.71499999999999997</v>
      </c>
      <c r="F212">
        <f t="shared" si="12"/>
        <v>-1.2500000000000011E-3</v>
      </c>
      <c r="G212">
        <v>-4.6962253011006863E-4</v>
      </c>
      <c r="H212" s="37"/>
      <c r="I212">
        <v>0.24338084355483955</v>
      </c>
      <c r="J212" s="38">
        <f>-VLOOKUP($C212,Profile!$B$5:$K$29,3,TRUE)*($G212+$I212)</f>
        <v>-17.003785471731064</v>
      </c>
      <c r="K212" s="37"/>
      <c r="O212">
        <v>1.6357837378960467</v>
      </c>
      <c r="P212" s="38">
        <f>VLOOKUP($C212,Profile!$B$5:$K$29,5,TRUE)*$O212</f>
        <v>19.084143608787212</v>
      </c>
      <c r="Q212">
        <f t="shared" si="10"/>
        <v>198.93602543985247</v>
      </c>
    </row>
    <row r="213" spans="1:17" x14ac:dyDescent="0.25">
      <c r="A213" s="1">
        <v>0.562500000000411</v>
      </c>
      <c r="B213">
        <f t="shared" si="13"/>
        <v>1050</v>
      </c>
      <c r="C213">
        <f t="shared" si="11"/>
        <v>810</v>
      </c>
      <c r="D213">
        <f>VLOOKUP($C213,Profile!$B$5:$K$29,2,TRUE)</f>
        <v>0.73</v>
      </c>
      <c r="E213" s="37">
        <f>VLOOKUP($C213,Profile!$B$5:$K$29,7,TRUE)</f>
        <v>0.71499999999999997</v>
      </c>
      <c r="F213">
        <f t="shared" si="12"/>
        <v>-1.2500000000000011E-3</v>
      </c>
      <c r="G213">
        <v>-4.8794417827179888E-4</v>
      </c>
      <c r="H213" s="37"/>
      <c r="I213">
        <v>0.24076249409569181</v>
      </c>
      <c r="J213" s="38">
        <f>-VLOOKUP($C213,Profile!$B$5:$K$29,3,TRUE)*($G213+$I213)</f>
        <v>-16.819218494219399</v>
      </c>
      <c r="K213" s="37"/>
      <c r="O213">
        <v>1.5892305309930985</v>
      </c>
      <c r="P213" s="38">
        <f>VLOOKUP($C213,Profile!$B$5:$K$29,5,TRUE)*$O213</f>
        <v>18.54102286158615</v>
      </c>
      <c r="Q213">
        <f t="shared" si="10"/>
        <v>200.65782980721923</v>
      </c>
    </row>
    <row r="214" spans="1:17" x14ac:dyDescent="0.25">
      <c r="A214" s="1">
        <v>0.56597222222263099</v>
      </c>
      <c r="B214">
        <f t="shared" si="13"/>
        <v>1055</v>
      </c>
      <c r="C214">
        <f t="shared" si="11"/>
        <v>815</v>
      </c>
      <c r="D214">
        <f>VLOOKUP($C214,Profile!$B$5:$K$29,2,TRUE)</f>
        <v>0.73</v>
      </c>
      <c r="E214" s="37">
        <f>VLOOKUP($C214,Profile!$B$5:$K$29,7,TRUE)</f>
        <v>0.71499999999999997</v>
      </c>
      <c r="F214">
        <f t="shared" si="12"/>
        <v>-1.2500000000000011E-3</v>
      </c>
      <c r="G214">
        <v>-5.0801159462474088E-4</v>
      </c>
      <c r="H214" s="37"/>
      <c r="I214">
        <v>0.2373026121396937</v>
      </c>
      <c r="J214" s="38">
        <f>-VLOOKUP($C214,Profile!$B$5:$K$29,3,TRUE)*($G214+$I214)</f>
        <v>-16.575622038154826</v>
      </c>
      <c r="K214" s="37"/>
      <c r="O214">
        <v>1.538364172190682</v>
      </c>
      <c r="P214" s="38">
        <f>VLOOKUP($C214,Profile!$B$5:$K$29,5,TRUE)*$O214</f>
        <v>17.947582008891288</v>
      </c>
      <c r="Q214">
        <f t="shared" si="10"/>
        <v>202.0297897779557</v>
      </c>
    </row>
    <row r="215" spans="1:17" x14ac:dyDescent="0.25">
      <c r="A215" s="1">
        <v>0.56944444444485098</v>
      </c>
      <c r="B215">
        <f t="shared" si="13"/>
        <v>1060</v>
      </c>
      <c r="C215">
        <f t="shared" si="11"/>
        <v>820</v>
      </c>
      <c r="D215">
        <f>VLOOKUP($C215,Profile!$B$5:$K$29,2,TRUE)</f>
        <v>0.73</v>
      </c>
      <c r="E215" s="37">
        <f>VLOOKUP($C215,Profile!$B$5:$K$29,7,TRUE)</f>
        <v>0.71499999999999997</v>
      </c>
      <c r="F215">
        <f t="shared" si="12"/>
        <v>-1.2500000000000011E-3</v>
      </c>
      <c r="G215">
        <v>-5.2953489692078462E-4</v>
      </c>
      <c r="H215" s="37"/>
      <c r="I215">
        <v>0.23310579550791932</v>
      </c>
      <c r="J215" s="38">
        <f>-VLOOKUP($C215,Profile!$B$5:$K$29,3,TRUE)*($G215+$I215)</f>
        <v>-16.280338242769897</v>
      </c>
      <c r="K215" s="37"/>
      <c r="O215">
        <v>1.4841174826394516</v>
      </c>
      <c r="P215" s="38">
        <f>VLOOKUP($C215,Profile!$B$5:$K$29,5,TRUE)*$O215</f>
        <v>17.314703964126934</v>
      </c>
      <c r="Q215">
        <f t="shared" si="10"/>
        <v>203.06415549931273</v>
      </c>
    </row>
    <row r="216" spans="1:17" x14ac:dyDescent="0.25">
      <c r="A216" s="1">
        <v>0.57291666666707097</v>
      </c>
      <c r="B216">
        <f t="shared" si="13"/>
        <v>1065</v>
      </c>
      <c r="C216">
        <f t="shared" si="11"/>
        <v>825</v>
      </c>
      <c r="D216">
        <f>VLOOKUP($C216,Profile!$B$5:$K$29,2,TRUE)</f>
        <v>0.73</v>
      </c>
      <c r="E216" s="37">
        <f>VLOOKUP($C216,Profile!$B$5:$K$29,7,TRUE)</f>
        <v>0.71499999999999997</v>
      </c>
      <c r="F216">
        <f t="shared" si="12"/>
        <v>-1.2500000000000011E-3</v>
      </c>
      <c r="G216">
        <v>-5.5225060523283922E-4</v>
      </c>
      <c r="H216" s="37"/>
      <c r="I216">
        <v>0.22826798698035003</v>
      </c>
      <c r="J216" s="38">
        <f>-VLOOKUP($C216,Profile!$B$5:$K$29,3,TRUE)*($G216+$I216)</f>
        <v>-15.940101546258203</v>
      </c>
      <c r="K216" s="37"/>
      <c r="O216">
        <v>1.4273115845024595</v>
      </c>
      <c r="P216" s="38">
        <f>VLOOKUP($C216,Profile!$B$5:$K$29,5,TRUE)*$O216</f>
        <v>16.651968485862028</v>
      </c>
      <c r="Q216">
        <f t="shared" si="10"/>
        <v>203.77602243891656</v>
      </c>
    </row>
    <row r="217" spans="1:17" x14ac:dyDescent="0.25">
      <c r="A217" s="1">
        <v>0.57638888888929096</v>
      </c>
      <c r="B217">
        <f t="shared" si="13"/>
        <v>1070</v>
      </c>
      <c r="C217">
        <f t="shared" si="11"/>
        <v>830</v>
      </c>
      <c r="D217">
        <f>VLOOKUP($C217,Profile!$B$5:$K$29,2,TRUE)</f>
        <v>0.73</v>
      </c>
      <c r="E217" s="37">
        <f>VLOOKUP($C217,Profile!$B$5:$K$29,7,TRUE)</f>
        <v>0.71499999999999997</v>
      </c>
      <c r="F217">
        <f t="shared" si="12"/>
        <v>-1.2500000000000011E-3</v>
      </c>
      <c r="G217">
        <v>-5.7591969872909405E-4</v>
      </c>
      <c r="H217" s="37"/>
      <c r="I217">
        <v>0.22287707917291966</v>
      </c>
      <c r="J217" s="38">
        <f>-VLOOKUP($C217,Profile!$B$5:$K$29,3,TRUE)*($G217+$I217)</f>
        <v>-15.561081163193339</v>
      </c>
      <c r="K217" s="37"/>
      <c r="O217">
        <v>1.3686668901685062</v>
      </c>
      <c r="P217" s="38">
        <f>VLOOKUP($C217,Profile!$B$5:$K$29,5,TRUE)*$O217</f>
        <v>15.967780385299237</v>
      </c>
      <c r="Q217">
        <f t="shared" si="10"/>
        <v>204.18272166102247</v>
      </c>
    </row>
    <row r="218" spans="1:17" x14ac:dyDescent="0.25">
      <c r="A218" s="1">
        <v>0.57986111111151095</v>
      </c>
      <c r="B218">
        <f t="shared" si="13"/>
        <v>1075</v>
      </c>
      <c r="C218">
        <f t="shared" si="11"/>
        <v>835</v>
      </c>
      <c r="D218">
        <f>VLOOKUP($C218,Profile!$B$5:$K$29,2,TRUE)</f>
        <v>0.73</v>
      </c>
      <c r="E218" s="37">
        <f>VLOOKUP($C218,Profile!$B$5:$K$29,7,TRUE)</f>
        <v>0.71499999999999997</v>
      </c>
      <c r="F218">
        <f t="shared" si="12"/>
        <v>-1.2500000000000011E-3</v>
      </c>
      <c r="G218">
        <v>-6.0032580000307764E-4</v>
      </c>
      <c r="H218" s="37"/>
      <c r="I218">
        <v>0.21701348100516663</v>
      </c>
      <c r="J218" s="38">
        <f>-VLOOKUP($C218,Profile!$B$5:$K$29,3,TRUE)*($G218+$I218)</f>
        <v>-15.148920864361449</v>
      </c>
      <c r="K218" s="37"/>
      <c r="O218">
        <v>1.3088131166628796</v>
      </c>
      <c r="P218" s="38">
        <f>VLOOKUP($C218,Profile!$B$5:$K$29,5,TRUE)*$O218</f>
        <v>15.269486361066928</v>
      </c>
      <c r="Q218">
        <f t="shared" si="10"/>
        <v>204.30328715772794</v>
      </c>
    </row>
    <row r="219" spans="1:17" x14ac:dyDescent="0.25">
      <c r="A219" s="1">
        <v>0.58333333333373005</v>
      </c>
      <c r="B219">
        <f t="shared" si="13"/>
        <v>1080</v>
      </c>
      <c r="C219">
        <f t="shared" si="11"/>
        <v>840</v>
      </c>
      <c r="D219">
        <f>VLOOKUP($C219,Profile!$B$5:$K$29,2,TRUE)</f>
        <v>0.73</v>
      </c>
      <c r="E219" s="37">
        <f>VLOOKUP($C219,Profile!$B$5:$K$29,7,TRUE)</f>
        <v>0.71499999999999997</v>
      </c>
      <c r="F219">
        <f t="shared" si="12"/>
        <v>-1.2500000000000011E-3</v>
      </c>
      <c r="G219">
        <v>-6.2527347917217229E-4</v>
      </c>
      <c r="H219" s="37"/>
      <c r="I219">
        <v>0.21075064804941918</v>
      </c>
      <c r="J219" s="38">
        <f>-VLOOKUP($C219,Profile!$B$5:$K$29,3,TRUE)*($G219+$I219)</f>
        <v>-14.70877621991729</v>
      </c>
      <c r="K219" s="37"/>
      <c r="O219">
        <v>1.2482984062615321</v>
      </c>
      <c r="P219" s="38">
        <f>VLOOKUP($C219,Profile!$B$5:$K$29,5,TRUE)*$O219</f>
        <v>14.56348140638454</v>
      </c>
      <c r="Q219">
        <f t="shared" si="10"/>
        <v>204.15799234419518</v>
      </c>
    </row>
    <row r="220" spans="1:17" x14ac:dyDescent="0.25">
      <c r="A220" s="1">
        <v>0.58680555555595004</v>
      </c>
      <c r="B220">
        <f t="shared" si="13"/>
        <v>1085</v>
      </c>
      <c r="C220">
        <f t="shared" si="11"/>
        <v>845</v>
      </c>
      <c r="D220">
        <f>VLOOKUP($C220,Profile!$B$5:$K$29,2,TRUE)</f>
        <v>0.73</v>
      </c>
      <c r="E220" s="37">
        <f>VLOOKUP($C220,Profile!$B$5:$K$29,7,TRUE)</f>
        <v>0.71499999999999997</v>
      </c>
      <c r="F220">
        <f t="shared" si="12"/>
        <v>-1.2500000000000011E-3</v>
      </c>
      <c r="G220">
        <v>-6.5058667040930314E-4</v>
      </c>
      <c r="H220" s="37"/>
      <c r="I220">
        <v>0.20415557892173036</v>
      </c>
      <c r="J220" s="38">
        <f>-VLOOKUP($C220,Profile!$B$5:$K$29,3,TRUE)*($G220+$I220)</f>
        <v>-14.245349457592475</v>
      </c>
      <c r="K220" s="37"/>
      <c r="O220">
        <v>1.187597627881841</v>
      </c>
      <c r="P220" s="38">
        <f>VLOOKUP($C220,Profile!$B$5:$K$29,5,TRUE)*$O220</f>
        <v>13.855305658621477</v>
      </c>
      <c r="Q220">
        <f t="shared" si="10"/>
        <v>203.76794854522419</v>
      </c>
    </row>
    <row r="221" spans="1:17" x14ac:dyDescent="0.25">
      <c r="A221" s="1">
        <v>0.59027777777817003</v>
      </c>
      <c r="B221">
        <f t="shared" si="13"/>
        <v>1090</v>
      </c>
      <c r="C221">
        <f t="shared" si="11"/>
        <v>850</v>
      </c>
      <c r="D221">
        <f>VLOOKUP($C221,Profile!$B$5:$K$29,2,TRUE)</f>
        <v>0.73</v>
      </c>
      <c r="E221" s="37">
        <f>VLOOKUP($C221,Profile!$B$5:$K$29,7,TRUE)</f>
        <v>0.71499999999999997</v>
      </c>
      <c r="F221">
        <f t="shared" si="12"/>
        <v>-1.2500000000000011E-3</v>
      </c>
      <c r="G221">
        <v>-6.7610719399930654E-4</v>
      </c>
      <c r="H221" s="37"/>
      <c r="I221">
        <v>0.19728927975128796</v>
      </c>
      <c r="J221" s="38">
        <f>-VLOOKUP($C221,Profile!$B$5:$K$29,3,TRUE)*($G221+$I221)</f>
        <v>-13.762922079010206</v>
      </c>
      <c r="K221" s="37"/>
      <c r="O221">
        <v>1.1271199278841977</v>
      </c>
      <c r="P221" s="38">
        <f>VLOOKUP($C221,Profile!$B$5:$K$29,5,TRUE)*$O221</f>
        <v>13.149732491982306</v>
      </c>
      <c r="Q221">
        <f t="shared" si="10"/>
        <v>203.15475895819628</v>
      </c>
    </row>
    <row r="222" spans="1:17" x14ac:dyDescent="0.25">
      <c r="A222" s="1">
        <v>0.59375000000039002</v>
      </c>
      <c r="B222">
        <f t="shared" si="13"/>
        <v>1095</v>
      </c>
      <c r="C222">
        <f t="shared" si="11"/>
        <v>855</v>
      </c>
      <c r="D222">
        <f>VLOOKUP($C222,Profile!$B$5:$K$29,2,TRUE)</f>
        <v>0.73</v>
      </c>
      <c r="E222" s="37">
        <f>VLOOKUP($C222,Profile!$B$5:$K$29,7,TRUE)</f>
        <v>0.71499999999999997</v>
      </c>
      <c r="F222">
        <f t="shared" si="12"/>
        <v>-1.2500000000000011E-3</v>
      </c>
      <c r="G222">
        <v>-7.0169337741434791E-4</v>
      </c>
      <c r="H222" s="37"/>
      <c r="I222">
        <v>0.19020719864835806</v>
      </c>
      <c r="J222" s="38">
        <f>-VLOOKUP($C222,Profile!$B$5:$K$29,3,TRUE)*($G222+$I222)</f>
        <v>-13.26538536896606</v>
      </c>
      <c r="K222" s="37"/>
      <c r="O222">
        <v>1.0672155934367786</v>
      </c>
      <c r="P222" s="38">
        <f>VLOOKUP($C222,Profile!$B$5:$K$29,5,TRUE)*$O222</f>
        <v>12.450848590095751</v>
      </c>
      <c r="Q222">
        <f t="shared" si="10"/>
        <v>202.34022217932596</v>
      </c>
    </row>
    <row r="223" spans="1:17" x14ac:dyDescent="0.25">
      <c r="A223" s="1">
        <v>0.59722222222261001</v>
      </c>
      <c r="B223">
        <f t="shared" si="13"/>
        <v>1100</v>
      </c>
      <c r="C223">
        <f t="shared" si="11"/>
        <v>860</v>
      </c>
      <c r="D223">
        <f>VLOOKUP($C223,Profile!$B$5:$K$29,2,TRUE)</f>
        <v>0.73</v>
      </c>
      <c r="E223" s="37">
        <f>VLOOKUP($C223,Profile!$B$5:$K$29,7,TRUE)</f>
        <v>0.71499999999999997</v>
      </c>
      <c r="F223">
        <f t="shared" si="12"/>
        <v>-1.2500000000000011E-3</v>
      </c>
      <c r="G223">
        <v>-7.2721876928302277E-4</v>
      </c>
      <c r="H223" s="37"/>
      <c r="I223">
        <v>0.18295963198061077</v>
      </c>
      <c r="J223" s="38">
        <f>-VLOOKUP($C223,Profile!$B$5:$K$29,3,TRUE)*($G223+$I223)</f>
        <v>-12.756268924792941</v>
      </c>
      <c r="K223" s="37"/>
      <c r="O223">
        <v>1.0081822865367223</v>
      </c>
      <c r="P223" s="38">
        <f>VLOOKUP($C223,Profile!$B$5:$K$29,5,TRUE)*$O223</f>
        <v>11.76212667626176</v>
      </c>
      <c r="Q223">
        <f t="shared" si="10"/>
        <v>201.34607993079479</v>
      </c>
    </row>
    <row r="224" spans="1:17" x14ac:dyDescent="0.25">
      <c r="A224" s="1">
        <v>0.60069444444483</v>
      </c>
      <c r="B224">
        <f t="shared" si="13"/>
        <v>1105</v>
      </c>
      <c r="C224">
        <f t="shared" si="11"/>
        <v>865</v>
      </c>
      <c r="D224">
        <f>VLOOKUP($C224,Profile!$B$5:$K$29,2,TRUE)</f>
        <v>0.73</v>
      </c>
      <c r="E224" s="37">
        <f>VLOOKUP($C224,Profile!$B$5:$K$29,7,TRUE)</f>
        <v>0.71499999999999997</v>
      </c>
      <c r="F224">
        <f t="shared" si="12"/>
        <v>-1.2500000000000011E-3</v>
      </c>
      <c r="G224">
        <v>-7.5257094048665192E-4</v>
      </c>
      <c r="H224" s="37"/>
      <c r="I224">
        <v>0.17559210416357801</v>
      </c>
      <c r="J224" s="38">
        <f>-VLOOKUP($C224,Profile!$B$5:$K$29,3,TRUE)*($G224+$I224)</f>
        <v>-12.238767325616395</v>
      </c>
      <c r="K224" s="37"/>
      <c r="O224">
        <v>0.95027070211284626</v>
      </c>
      <c r="P224" s="38">
        <f>VLOOKUP($C224,Profile!$B$5:$K$29,5,TRUE)*$O224</f>
        <v>11.086491524649873</v>
      </c>
      <c r="Q224">
        <f t="shared" si="10"/>
        <v>200.19380412982827</v>
      </c>
    </row>
    <row r="225" spans="1:17" x14ac:dyDescent="0.25">
      <c r="A225" s="1">
        <v>0.60416666666704999</v>
      </c>
      <c r="B225">
        <f t="shared" si="13"/>
        <v>1110</v>
      </c>
      <c r="C225">
        <f t="shared" si="11"/>
        <v>870</v>
      </c>
      <c r="D225">
        <f>VLOOKUP($C225,Profile!$B$5:$K$29,2,TRUE)</f>
        <v>0.73</v>
      </c>
      <c r="E225" s="37">
        <f>VLOOKUP($C225,Profile!$B$5:$K$29,7,TRUE)</f>
        <v>0.71499999999999997</v>
      </c>
      <c r="F225">
        <f t="shared" si="12"/>
        <v>-1.2500000000000011E-3</v>
      </c>
      <c r="G225">
        <v>-7.7765036695495303E-4</v>
      </c>
      <c r="H225" s="37"/>
      <c r="I225">
        <v>0.16814572257267138</v>
      </c>
      <c r="J225" s="38">
        <f>-VLOOKUP($C225,Profile!$B$5:$K$29,3,TRUE)*($G225+$I225)</f>
        <v>-11.715765054400149</v>
      </c>
      <c r="K225" s="37"/>
      <c r="O225">
        <v>0.89368969932855058</v>
      </c>
      <c r="P225" s="38">
        <f>VLOOKUP($C225,Profile!$B$5:$K$29,5,TRUE)*$O225</f>
        <v>10.426379825499756</v>
      </c>
      <c r="Q225">
        <f t="shared" si="10"/>
        <v>198.90441890092788</v>
      </c>
    </row>
    <row r="226" spans="1:17" x14ac:dyDescent="0.25">
      <c r="A226" s="1">
        <v>0.60763888888926998</v>
      </c>
      <c r="B226">
        <f t="shared" si="13"/>
        <v>1115</v>
      </c>
      <c r="C226">
        <f t="shared" si="11"/>
        <v>875</v>
      </c>
      <c r="D226">
        <f>VLOOKUP($C226,Profile!$B$5:$K$29,2,TRUE)</f>
        <v>0.73</v>
      </c>
      <c r="E226" s="37">
        <f>VLOOKUP($C226,Profile!$B$5:$K$29,7,TRUE)</f>
        <v>0.71499999999999997</v>
      </c>
      <c r="F226">
        <f t="shared" si="12"/>
        <v>-1.2500000000000011E-3</v>
      </c>
      <c r="G226">
        <v>-8.0236938905283784E-4</v>
      </c>
      <c r="H226" s="37"/>
      <c r="I226">
        <v>0.16065750909134066</v>
      </c>
      <c r="J226" s="38">
        <f>-VLOOKUP($C226,Profile!$B$5:$K$29,3,TRUE)*($G226+$I226)</f>
        <v>-11.189859779160148</v>
      </c>
      <c r="K226" s="37"/>
      <c r="O226">
        <v>0.83861095123147544</v>
      </c>
      <c r="P226" s="38">
        <f>VLOOKUP($C226,Profile!$B$5:$K$29,5,TRUE)*$O226</f>
        <v>9.7837944310338791</v>
      </c>
      <c r="Q226">
        <f t="shared" si="10"/>
        <v>197.4983535528016</v>
      </c>
    </row>
    <row r="227" spans="1:17" x14ac:dyDescent="0.25">
      <c r="A227" s="1">
        <v>0.61111111111148897</v>
      </c>
      <c r="B227">
        <f t="shared" si="13"/>
        <v>1120</v>
      </c>
      <c r="C227">
        <f t="shared" si="11"/>
        <v>880</v>
      </c>
      <c r="D227">
        <f>VLOOKUP($C227,Profile!$B$5:$K$29,2,TRUE)</f>
        <v>0.73</v>
      </c>
      <c r="E227" s="37">
        <f>VLOOKUP($C227,Profile!$B$5:$K$29,7,TRUE)</f>
        <v>0.71499999999999997</v>
      </c>
      <c r="F227">
        <f t="shared" si="12"/>
        <v>-1.2500000000000011E-3</v>
      </c>
      <c r="G227">
        <v>-8.2665124275157944E-4</v>
      </c>
      <c r="H227" s="37"/>
      <c r="I227">
        <v>0.15316070972227128</v>
      </c>
      <c r="J227" s="38">
        <f>-VLOOKUP($C227,Profile!$B$5:$K$29,3,TRUE)*($G227+$I227)</f>
        <v>-10.663384093566378</v>
      </c>
      <c r="K227" s="37"/>
      <c r="O227">
        <v>0.78517315423351874</v>
      </c>
      <c r="P227" s="38">
        <f>VLOOKUP($C227,Profile!$B$5:$K$29,5,TRUE)*$O227</f>
        <v>9.1603534660577175</v>
      </c>
      <c r="Q227">
        <f>+Q226+$J227+$P227</f>
        <v>195.99532292529295</v>
      </c>
    </row>
    <row r="228" spans="1:17" x14ac:dyDescent="0.25">
      <c r="A228" s="1">
        <v>0.61458333333370896</v>
      </c>
      <c r="B228">
        <f t="shared" si="13"/>
        <v>1125</v>
      </c>
      <c r="C228">
        <f t="shared" si="11"/>
        <v>885</v>
      </c>
      <c r="D228">
        <f>VLOOKUP($C228,Profile!$B$5:$K$29,2,TRUE)</f>
        <v>0.73</v>
      </c>
      <c r="E228" s="37">
        <f>VLOOKUP($C228,Profile!$B$5:$K$29,7,TRUE)</f>
        <v>0.71499999999999997</v>
      </c>
      <c r="F228">
        <f t="shared" si="12"/>
        <v>-1.2500000000000011E-3</v>
      </c>
      <c r="G228">
        <v>-8.5042915806203274E-4</v>
      </c>
      <c r="H228" s="37"/>
      <c r="I228">
        <v>0.14568508360573151</v>
      </c>
      <c r="J228" s="38">
        <f>-VLOOKUP($C228,Profile!$B$5:$K$29,3,TRUE)*($G228+$I228)</f>
        <v>-10.138425811336864</v>
      </c>
      <c r="K228" s="37"/>
      <c r="O228">
        <v>0.73348583552764279</v>
      </c>
      <c r="P228" s="38">
        <f>VLOOKUP($C228,Profile!$B$5:$K$29,5,TRUE)*$O228</f>
        <v>8.5573347478224981</v>
      </c>
      <c r="Q228">
        <f t="shared" si="10"/>
        <v>194.41423186177857</v>
      </c>
    </row>
    <row r="229" spans="1:17" x14ac:dyDescent="0.25">
      <c r="A229" s="1">
        <v>0.61805555555592895</v>
      </c>
      <c r="B229">
        <f t="shared" si="13"/>
        <v>1130</v>
      </c>
      <c r="C229">
        <f t="shared" si="11"/>
        <v>890</v>
      </c>
      <c r="D229">
        <f>VLOOKUP($C229,Profile!$B$5:$K$29,2,TRUE)</f>
        <v>0.73</v>
      </c>
      <c r="E229" s="37">
        <f>VLOOKUP($C229,Profile!$B$5:$K$29,7,TRUE)</f>
        <v>0.71499999999999997</v>
      </c>
      <c r="F229">
        <f t="shared" si="12"/>
        <v>-1.2500000000000011E-3</v>
      </c>
      <c r="G229">
        <v>-8.7364552047587858E-4</v>
      </c>
      <c r="H229" s="37"/>
      <c r="I229">
        <v>0.13825717271101978</v>
      </c>
      <c r="J229" s="38">
        <f>-VLOOKUP($C229,Profile!$B$5:$K$29,3,TRUE)*($G229+$I229)</f>
        <v>-9.6168469033380717</v>
      </c>
      <c r="K229" s="37"/>
      <c r="O229">
        <v>0.68363279343485817</v>
      </c>
      <c r="P229" s="38">
        <f>VLOOKUP($C229,Profile!$B$5:$K$29,5,TRUE)*$O229</f>
        <v>7.9757159234066783</v>
      </c>
      <c r="Q229">
        <f t="shared" ref="Q229:Q292" si="14">+Q228+$J229+$P229</f>
        <v>192.77310088184717</v>
      </c>
    </row>
    <row r="230" spans="1:17" x14ac:dyDescent="0.25">
      <c r="A230" s="1">
        <v>0.62152777777814905</v>
      </c>
      <c r="B230">
        <f t="shared" si="13"/>
        <v>1135</v>
      </c>
      <c r="C230">
        <f t="shared" si="11"/>
        <v>895</v>
      </c>
      <c r="D230">
        <f>VLOOKUP($C230,Profile!$B$5:$K$29,2,TRUE)</f>
        <v>0.73</v>
      </c>
      <c r="E230" s="37">
        <f>VLOOKUP($C230,Profile!$B$5:$K$29,7,TRUE)</f>
        <v>0.71499999999999997</v>
      </c>
      <c r="F230">
        <f t="shared" si="12"/>
        <v>-1.2500000000000011E-3</v>
      </c>
      <c r="G230">
        <v>-8.9625109141391673E-4</v>
      </c>
      <c r="H230" s="37"/>
      <c r="I230">
        <v>0.13090055339317735</v>
      </c>
      <c r="J230" s="38">
        <f>-VLOOKUP($C230,Profile!$B$5:$K$29,3,TRUE)*($G230+$I230)</f>
        <v>-9.1003011611234399</v>
      </c>
      <c r="K230" s="37"/>
      <c r="O230">
        <v>0.63567520280579848</v>
      </c>
      <c r="P230" s="38">
        <f>VLOOKUP($C230,Profile!$B$5:$K$29,5,TRUE)*$O230</f>
        <v>7.416210699400982</v>
      </c>
      <c r="Q230">
        <f t="shared" si="14"/>
        <v>191.08901042012471</v>
      </c>
    </row>
    <row r="231" spans="1:17" x14ac:dyDescent="0.25">
      <c r="A231" s="1">
        <v>0.62500000000036904</v>
      </c>
      <c r="B231">
        <f t="shared" si="13"/>
        <v>1140</v>
      </c>
      <c r="C231">
        <f t="shared" si="11"/>
        <v>900</v>
      </c>
      <c r="D231">
        <f>VLOOKUP($C231,Profile!$B$5:$K$29,2,TRUE)</f>
        <v>0.73</v>
      </c>
      <c r="E231" s="37">
        <f>VLOOKUP($C231,Profile!$B$5:$K$29,7,TRUE)</f>
        <v>0.71499999999999997</v>
      </c>
      <c r="F231">
        <f t="shared" si="12"/>
        <v>-1.2500000000000011E-3</v>
      </c>
      <c r="G231">
        <v>-9.1820428391906452E-4</v>
      </c>
      <c r="H231" s="37"/>
      <c r="I231">
        <v>0.12363607093748104</v>
      </c>
      <c r="J231" s="38">
        <f>-VLOOKUP($C231,Profile!$B$5:$K$29,3,TRUE)*($G231+$I231)</f>
        <v>-8.5902506657493376</v>
      </c>
      <c r="K231" s="37"/>
      <c r="O231">
        <v>0.58965441495786264</v>
      </c>
      <c r="P231" s="38">
        <f>VLOOKUP($C231,Profile!$B$5:$K$29,5,TRUE)*$O231</f>
        <v>6.8793015078417303</v>
      </c>
      <c r="Q231">
        <f t="shared" si="14"/>
        <v>189.3780612622171</v>
      </c>
    </row>
    <row r="232" spans="1:17" x14ac:dyDescent="0.25">
      <c r="A232" s="1">
        <v>0.62847222222258903</v>
      </c>
      <c r="B232">
        <f t="shared" si="13"/>
        <v>1145</v>
      </c>
      <c r="C232">
        <f t="shared" si="11"/>
        <v>905</v>
      </c>
      <c r="D232">
        <f>VLOOKUP($C232,Profile!$B$5:$K$29,2,TRUE)</f>
        <v>0.73</v>
      </c>
      <c r="E232" s="37">
        <f>VLOOKUP($C232,Profile!$B$5:$K$29,7,TRUE)</f>
        <v>0.71499999999999997</v>
      </c>
      <c r="F232">
        <f t="shared" si="12"/>
        <v>-1.2500000000000011E-3</v>
      </c>
      <c r="G232">
        <v>-9.3947049005674483E-4</v>
      </c>
      <c r="H232" s="37"/>
      <c r="I232">
        <v>0.11648205814849615</v>
      </c>
      <c r="J232" s="38">
        <f>-VLOOKUP($C232,Profile!$B$5:$K$29,3,TRUE)*($G232+$I232)</f>
        <v>-8.0879811360907574</v>
      </c>
      <c r="K232" s="37"/>
      <c r="O232">
        <v>0.54559447919381121</v>
      </c>
      <c r="P232" s="38">
        <f>VLOOKUP($C232,Profile!$B$5:$K$29,5,TRUE)*$O232</f>
        <v>6.3652689239277969</v>
      </c>
      <c r="Q232">
        <f t="shared" si="14"/>
        <v>187.65534905005416</v>
      </c>
    </row>
    <row r="233" spans="1:17" x14ac:dyDescent="0.25">
      <c r="A233" s="1">
        <v>0.63194444444480902</v>
      </c>
      <c r="B233">
        <f t="shared" si="13"/>
        <v>1150</v>
      </c>
      <c r="C233">
        <f t="shared" si="11"/>
        <v>910</v>
      </c>
      <c r="D233">
        <f>VLOOKUP($C233,Profile!$B$5:$K$29,2,TRUE)</f>
        <v>0.73</v>
      </c>
      <c r="E233" s="37">
        <f>VLOOKUP($C233,Profile!$B$5:$K$29,7,TRUE)</f>
        <v>0.71499999999999997</v>
      </c>
      <c r="F233">
        <f t="shared" si="12"/>
        <v>-1.2500000000000011E-3</v>
      </c>
      <c r="G233">
        <v>-9.6002145669750406E-4</v>
      </c>
      <c r="H233" s="37"/>
      <c r="I233">
        <v>0.10945453897843251</v>
      </c>
      <c r="J233" s="38">
        <f>-VLOOKUP($C233,Profile!$B$5:$K$29,3,TRUE)*($G233+$I233)</f>
        <v>-7.5946162265214499</v>
      </c>
      <c r="K233" s="37"/>
      <c r="O233">
        <v>0.50350441070504592</v>
      </c>
      <c r="P233" s="38">
        <f>VLOOKUP($C233,Profile!$B$5:$K$29,5,TRUE)*$O233</f>
        <v>5.8742181248922023</v>
      </c>
      <c r="Q233">
        <f t="shared" si="14"/>
        <v>185.9349509484249</v>
      </c>
    </row>
    <row r="234" spans="1:17" x14ac:dyDescent="0.25">
      <c r="A234" s="1">
        <v>0.63541666666702901</v>
      </c>
      <c r="B234">
        <f t="shared" si="13"/>
        <v>1155</v>
      </c>
      <c r="C234">
        <f t="shared" si="11"/>
        <v>915</v>
      </c>
      <c r="D234">
        <f>VLOOKUP($C234,Profile!$B$5:$K$29,2,TRUE)</f>
        <v>0.73</v>
      </c>
      <c r="E234" s="37">
        <f>VLOOKUP($C234,Profile!$B$5:$K$29,7,TRUE)</f>
        <v>0.71499999999999997</v>
      </c>
      <c r="F234">
        <f t="shared" si="12"/>
        <v>-1.2500000000000011E-3</v>
      </c>
      <c r="G234">
        <v>-9.7983470655670806E-4</v>
      </c>
      <c r="H234" s="37"/>
      <c r="I234">
        <v>0.10256741813100412</v>
      </c>
      <c r="J234" s="38">
        <f>-VLOOKUP($C234,Profile!$B$5:$K$29,3,TRUE)*($G234+$I234)</f>
        <v>-7.1111308397113184</v>
      </c>
      <c r="K234" s="37"/>
      <c r="O234">
        <v>0.46338022759787922</v>
      </c>
      <c r="P234" s="38">
        <f>VLOOKUP($C234,Profile!$B$5:$K$29,5,TRUE)*$O234</f>
        <v>5.4061026553085902</v>
      </c>
      <c r="Q234">
        <f t="shared" si="14"/>
        <v>184.22992276402218</v>
      </c>
    </row>
    <row r="235" spans="1:17" x14ac:dyDescent="0.25">
      <c r="A235" s="1">
        <v>0.638888888889248</v>
      </c>
      <c r="B235">
        <f t="shared" si="13"/>
        <v>1160</v>
      </c>
      <c r="C235">
        <f t="shared" si="11"/>
        <v>920</v>
      </c>
      <c r="D235">
        <f>VLOOKUP($C235,Profile!$B$5:$K$29,2,TRUE)</f>
        <v>0.73</v>
      </c>
      <c r="E235" s="37">
        <f>VLOOKUP($C235,Profile!$B$5:$K$29,7,TRUE)</f>
        <v>0.71499999999999997</v>
      </c>
      <c r="F235">
        <f t="shared" si="12"/>
        <v>-1.2500000000000011E-3</v>
      </c>
      <c r="G235">
        <v>-9.988930015546885E-4</v>
      </c>
      <c r="H235" s="37"/>
      <c r="I235">
        <v>9.5832657521760761E-2</v>
      </c>
      <c r="J235" s="38">
        <f>-VLOOKUP($C235,Profile!$B$5:$K$29,3,TRUE)*($G235+$I235)</f>
        <v>-6.638363516414425</v>
      </c>
      <c r="K235" s="37"/>
      <c r="O235">
        <v>0.42520677788027278</v>
      </c>
      <c r="P235" s="38">
        <f>VLOOKUP($C235,Profile!$B$5:$K$29,5,TRUE)*$O235</f>
        <v>4.9607457419365151</v>
      </c>
      <c r="Q235">
        <f t="shared" si="14"/>
        <v>182.55230498954427</v>
      </c>
    </row>
    <row r="236" spans="1:17" x14ac:dyDescent="0.25">
      <c r="A236" s="1">
        <v>0.64236111111146799</v>
      </c>
      <c r="B236">
        <f t="shared" si="13"/>
        <v>1165</v>
      </c>
      <c r="C236">
        <f t="shared" si="11"/>
        <v>925</v>
      </c>
      <c r="D236">
        <f>VLOOKUP($C236,Profile!$B$5:$K$29,2,TRUE)</f>
        <v>0.73</v>
      </c>
      <c r="E236" s="37">
        <f>VLOOKUP($C236,Profile!$B$5:$K$29,7,TRUE)</f>
        <v>0.71499999999999997</v>
      </c>
      <c r="F236">
        <f t="shared" si="12"/>
        <v>-1.2500000000000011E-3</v>
      </c>
      <c r="G236">
        <v>-1.0171838457383945E-3</v>
      </c>
      <c r="H236" s="37"/>
      <c r="I236">
        <v>8.926044042374745E-2</v>
      </c>
      <c r="J236" s="38">
        <f>-VLOOKUP($C236,Profile!$B$5:$K$29,3,TRUE)*($G236+$I236)</f>
        <v>-6.1770279604606335</v>
      </c>
      <c r="K236" s="37"/>
      <c r="O236">
        <v>0.3889593754971955</v>
      </c>
      <c r="P236" s="38">
        <f>VLOOKUP($C236,Profile!$B$5:$K$29,5,TRUE)*$O236</f>
        <v>4.5378593808006142</v>
      </c>
      <c r="Q236">
        <f t="shared" si="14"/>
        <v>180.91313640988426</v>
      </c>
    </row>
    <row r="237" spans="1:17" x14ac:dyDescent="0.25">
      <c r="A237" s="1">
        <v>0.64583333333368798</v>
      </c>
      <c r="B237">
        <f t="shared" si="13"/>
        <v>1170</v>
      </c>
      <c r="C237">
        <f t="shared" si="11"/>
        <v>930</v>
      </c>
      <c r="D237">
        <f>VLOOKUP($C237,Profile!$B$5:$K$29,2,TRUE)</f>
        <v>0.73</v>
      </c>
      <c r="E237" s="37">
        <f>VLOOKUP($C237,Profile!$B$5:$K$29,7,TRUE)</f>
        <v>0.71499999999999997</v>
      </c>
      <c r="F237">
        <f t="shared" si="12"/>
        <v>-1.2500000000000011E-3</v>
      </c>
      <c r="G237">
        <v>-1.0346990251730477E-3</v>
      </c>
      <c r="H237" s="37"/>
      <c r="I237">
        <v>8.2859324078193852E-2</v>
      </c>
      <c r="J237" s="38">
        <f>-VLOOKUP($C237,Profile!$B$5:$K$29,3,TRUE)*($G237+$I237)</f>
        <v>-5.7277237537114569</v>
      </c>
      <c r="K237" s="37"/>
      <c r="O237">
        <v>0.35460526289326433</v>
      </c>
      <c r="P237" s="38">
        <f>VLOOKUP($C237,Profile!$B$5:$K$29,5,TRUE)*$O237</f>
        <v>4.137061400421417</v>
      </c>
      <c r="Q237">
        <f t="shared" si="14"/>
        <v>179.32247405659425</v>
      </c>
    </row>
    <row r="238" spans="1:17" x14ac:dyDescent="0.25">
      <c r="A238" s="1">
        <v>0.64930555555590797</v>
      </c>
      <c r="B238">
        <f t="shared" si="13"/>
        <v>1175</v>
      </c>
      <c r="C238">
        <f t="shared" si="11"/>
        <v>935</v>
      </c>
      <c r="D238">
        <f>VLOOKUP($C238,Profile!$B$5:$K$29,2,TRUE)</f>
        <v>0.73</v>
      </c>
      <c r="E238" s="37">
        <f>VLOOKUP($C238,Profile!$B$5:$K$29,7,TRUE)</f>
        <v>0.71499999999999997</v>
      </c>
      <c r="F238">
        <f t="shared" si="12"/>
        <v>-1.2500000000000011E-3</v>
      </c>
      <c r="G238">
        <v>-1.0514341823700624E-3</v>
      </c>
      <c r="H238" s="37"/>
      <c r="I238">
        <v>7.6636381503568218E-2</v>
      </c>
      <c r="J238" s="38">
        <f>-VLOOKUP($C238,Profile!$B$5:$K$29,3,TRUE)*($G238+$I238)</f>
        <v>-5.2909463124838707</v>
      </c>
      <c r="K238" s="37"/>
      <c r="O238">
        <v>0.32210491610088887</v>
      </c>
      <c r="P238" s="38">
        <f>VLOOKUP($C238,Profile!$B$5:$K$29,5,TRUE)*$O238</f>
        <v>3.7578906878437035</v>
      </c>
      <c r="Q238">
        <f t="shared" si="14"/>
        <v>177.78941843195409</v>
      </c>
    </row>
    <row r="239" spans="1:17" x14ac:dyDescent="0.25">
      <c r="A239" s="1">
        <v>0.65277777777812795</v>
      </c>
      <c r="B239">
        <f t="shared" si="13"/>
        <v>1180</v>
      </c>
      <c r="C239">
        <f t="shared" si="11"/>
        <v>940</v>
      </c>
      <c r="D239">
        <f>VLOOKUP($C239,Profile!$B$5:$K$29,2,TRUE)</f>
        <v>0.73</v>
      </c>
      <c r="E239" s="37">
        <f>VLOOKUP($C239,Profile!$B$5:$K$29,7,TRUE)</f>
        <v>0.71499999999999997</v>
      </c>
      <c r="F239">
        <f t="shared" si="12"/>
        <v>-1.2500000000000011E-3</v>
      </c>
      <c r="G239">
        <v>-1.0673884229661324E-3</v>
      </c>
      <c r="H239" s="37"/>
      <c r="I239">
        <v>7.0597333192605902E-2</v>
      </c>
      <c r="J239" s="38">
        <f>-VLOOKUP($C239,Profile!$B$5:$K$29,3,TRUE)*($G239+$I239)</f>
        <v>-4.8670961338747833</v>
      </c>
      <c r="K239" s="37"/>
      <c r="O239">
        <v>0.29141320699077433</v>
      </c>
      <c r="P239" s="38">
        <f>VLOOKUP($C239,Profile!$B$5:$K$29,5,TRUE)*$O239</f>
        <v>3.3998207482257006</v>
      </c>
      <c r="Q239">
        <f t="shared" si="14"/>
        <v>176.322143046305</v>
      </c>
    </row>
    <row r="240" spans="1:17" x14ac:dyDescent="0.25">
      <c r="A240" s="1">
        <v>0.65625000000034805</v>
      </c>
      <c r="B240">
        <f t="shared" si="13"/>
        <v>1185</v>
      </c>
      <c r="C240">
        <f t="shared" si="11"/>
        <v>945</v>
      </c>
      <c r="D240">
        <f>VLOOKUP($C240,Profile!$B$5:$K$29,2,TRUE)</f>
        <v>0.73</v>
      </c>
      <c r="E240" s="37">
        <f>VLOOKUP($C240,Profile!$B$5:$K$29,7,TRUE)</f>
        <v>0.71499999999999997</v>
      </c>
      <c r="F240">
        <f t="shared" si="12"/>
        <v>-1.2500000000000011E-3</v>
      </c>
      <c r="G240">
        <v>-1.0825639525083961E-3</v>
      </c>
      <c r="H240" s="37"/>
      <c r="I240">
        <v>6.474666934568582E-2</v>
      </c>
      <c r="J240" s="38">
        <f>-VLOOKUP($C240,Profile!$B$5:$K$29,3,TRUE)*($G240+$I240)</f>
        <v>-4.4564873775224196</v>
      </c>
      <c r="K240" s="37"/>
      <c r="O240">
        <v>0.26248043607011784</v>
      </c>
      <c r="P240" s="38">
        <f>VLOOKUP($C240,Profile!$B$5:$K$29,5,TRUE)*$O240</f>
        <v>3.0622717541513746</v>
      </c>
      <c r="Q240">
        <f t="shared" si="14"/>
        <v>174.92792742293395</v>
      </c>
    </row>
    <row r="241" spans="1:17" x14ac:dyDescent="0.25">
      <c r="A241" s="1">
        <v>0.65972222222256804</v>
      </c>
      <c r="B241">
        <f t="shared" si="13"/>
        <v>1190</v>
      </c>
      <c r="C241">
        <f t="shared" si="11"/>
        <v>950</v>
      </c>
      <c r="D241">
        <f>VLOOKUP($C241,Profile!$B$5:$K$29,2,TRUE)</f>
        <v>0.73</v>
      </c>
      <c r="E241" s="37">
        <f>VLOOKUP($C241,Profile!$B$5:$K$29,7,TRUE)</f>
        <v>0.71499999999999997</v>
      </c>
      <c r="F241">
        <f t="shared" si="12"/>
        <v>-1.2500000000000011E-3</v>
      </c>
      <c r="G241">
        <v>-1.0969657413324606E-3</v>
      </c>
      <c r="H241" s="37"/>
      <c r="I241">
        <v>5.9087763250052071E-2</v>
      </c>
      <c r="J241" s="38">
        <f>-VLOOKUP($C241,Profile!$B$5:$K$29,3,TRUE)*($G241+$I241)</f>
        <v>-4.059355825610373</v>
      </c>
      <c r="K241" s="37"/>
      <c r="O241">
        <v>0.23525324806362441</v>
      </c>
      <c r="P241" s="38">
        <f>VLOOKUP($C241,Profile!$B$5:$K$29,5,TRUE)*$O241</f>
        <v>2.7446212274089512</v>
      </c>
      <c r="Q241">
        <f t="shared" si="14"/>
        <v>173.61319282473252</v>
      </c>
    </row>
    <row r="242" spans="1:17" x14ac:dyDescent="0.25">
      <c r="A242" s="1">
        <v>0.66319444444478803</v>
      </c>
      <c r="B242">
        <f t="shared" si="13"/>
        <v>1195</v>
      </c>
      <c r="C242">
        <f t="shared" si="11"/>
        <v>955</v>
      </c>
      <c r="D242">
        <f>VLOOKUP($C242,Profile!$B$5:$K$29,2,TRUE)</f>
        <v>0.73</v>
      </c>
      <c r="E242" s="37">
        <f>VLOOKUP($C242,Profile!$B$5:$K$29,7,TRUE)</f>
        <v>0.71499999999999997</v>
      </c>
      <c r="F242">
        <f t="shared" si="12"/>
        <v>-1.2500000000000011E-3</v>
      </c>
      <c r="G242">
        <v>-1.1106012156442498E-3</v>
      </c>
      <c r="H242" s="37"/>
      <c r="I242">
        <v>5.3622976377720906E-2</v>
      </c>
      <c r="J242" s="38">
        <f>-VLOOKUP($C242,Profile!$B$5:$K$29,3,TRUE)*($G242+$I242)</f>
        <v>-3.6758662613453659</v>
      </c>
      <c r="K242" s="37"/>
      <c r="O242">
        <v>0.20967544145568889</v>
      </c>
      <c r="P242" s="38">
        <f>VLOOKUP($C242,Profile!$B$5:$K$29,5,TRUE)*$O242</f>
        <v>2.4462134836497036</v>
      </c>
      <c r="Q242">
        <f t="shared" si="14"/>
        <v>172.38354004703686</v>
      </c>
    </row>
    <row r="243" spans="1:17" x14ac:dyDescent="0.25">
      <c r="A243" s="1">
        <v>0.66666666666700802</v>
      </c>
      <c r="B243">
        <f t="shared" si="13"/>
        <v>1200</v>
      </c>
      <c r="C243">
        <f t="shared" si="11"/>
        <v>960</v>
      </c>
      <c r="D243">
        <f>VLOOKUP($C243,Profile!$B$5:$K$29,2,TRUE)</f>
        <v>0.7</v>
      </c>
      <c r="E243" s="37">
        <f>VLOOKUP($C243,Profile!$B$5:$K$29,7,TRUE)</f>
        <v>0.71499999999999997</v>
      </c>
      <c r="F243">
        <f t="shared" si="12"/>
        <v>1.2500000000000011E-3</v>
      </c>
      <c r="G243">
        <v>-1.1234799730335707E-3</v>
      </c>
      <c r="H243" s="37"/>
      <c r="I243">
        <v>4.8353755740364893E-2</v>
      </c>
      <c r="J243" s="38">
        <f>-VLOOKUP($C243,Profile!$B$5:$K$29,3,TRUE)*($G243+$I243)</f>
        <v>-3.3061193037131922</v>
      </c>
      <c r="K243" s="37"/>
      <c r="O243">
        <v>0.18568868220144355</v>
      </c>
      <c r="P243" s="38">
        <f>VLOOKUP($C243,Profile!$B$5:$K$29,5,TRUE)*$O243</f>
        <v>2.1663679590168412</v>
      </c>
      <c r="Q243">
        <f t="shared" si="14"/>
        <v>171.24378870234051</v>
      </c>
    </row>
    <row r="244" spans="1:17" x14ac:dyDescent="0.25">
      <c r="A244" s="1">
        <v>0.67013888888922701</v>
      </c>
      <c r="B244">
        <f t="shared" si="13"/>
        <v>1205</v>
      </c>
      <c r="C244">
        <f t="shared" si="11"/>
        <v>965</v>
      </c>
      <c r="D244">
        <f>VLOOKUP($C244,Profile!$B$5:$K$29,2,TRUE)</f>
        <v>0.7</v>
      </c>
      <c r="E244" s="37">
        <f>VLOOKUP($C244,Profile!$B$5:$K$29,7,TRUE)</f>
        <v>0.71499999999999997</v>
      </c>
      <c r="F244">
        <f t="shared" si="12"/>
        <v>1.2500000000000011E-3</v>
      </c>
      <c r="G244">
        <v>-1.1231137318174057E-3</v>
      </c>
      <c r="H244" s="37"/>
      <c r="I244">
        <v>4.3280724006898294E-2</v>
      </c>
      <c r="J244" s="38">
        <f>-VLOOKUP($C244,Profile!$B$5:$K$29,3,TRUE)*($G244+$I244)</f>
        <v>-2.9510327192556622</v>
      </c>
      <c r="K244" s="37"/>
      <c r="O244">
        <v>0.16323313092312111</v>
      </c>
      <c r="P244" s="38">
        <f>VLOOKUP($C244,Profile!$B$5:$K$29,5,TRUE)*$O244</f>
        <v>1.9043865274364129</v>
      </c>
      <c r="Q244">
        <f t="shared" si="14"/>
        <v>170.19714251052125</v>
      </c>
    </row>
    <row r="245" spans="1:17" x14ac:dyDescent="0.25">
      <c r="A245" s="1">
        <v>0.673611111111447</v>
      </c>
      <c r="B245">
        <f t="shared" si="13"/>
        <v>1210</v>
      </c>
      <c r="C245">
        <f t="shared" si="11"/>
        <v>970</v>
      </c>
      <c r="D245">
        <f>VLOOKUP($C245,Profile!$B$5:$K$29,2,TRUE)</f>
        <v>0.7</v>
      </c>
      <c r="E245" s="37">
        <f>VLOOKUP($C245,Profile!$B$5:$K$29,7,TRUE)</f>
        <v>0.71499999999999997</v>
      </c>
      <c r="F245">
        <f t="shared" si="12"/>
        <v>1.2500000000000011E-3</v>
      </c>
      <c r="G245">
        <v>-1.1110077335309222E-3</v>
      </c>
      <c r="H245" s="37"/>
      <c r="I245">
        <v>3.8403762858798339E-2</v>
      </c>
      <c r="J245" s="38">
        <f>-VLOOKUP($C245,Profile!$B$5:$K$29,3,TRUE)*($G245+$I245)</f>
        <v>-2.6104928587687191</v>
      </c>
      <c r="K245" s="37"/>
      <c r="O245">
        <v>0.14224799209009484</v>
      </c>
      <c r="P245" s="38">
        <f>VLOOKUP($C245,Profile!$B$5:$K$29,5,TRUE)*$O245</f>
        <v>1.659559907717773</v>
      </c>
      <c r="Q245">
        <f t="shared" si="14"/>
        <v>169.24620955947032</v>
      </c>
    </row>
    <row r="246" spans="1:17" x14ac:dyDescent="0.25">
      <c r="A246" s="1">
        <v>0.67708333333366699</v>
      </c>
      <c r="B246">
        <f t="shared" si="13"/>
        <v>1215</v>
      </c>
      <c r="C246">
        <f t="shared" si="11"/>
        <v>975</v>
      </c>
      <c r="D246">
        <f>VLOOKUP($C246,Profile!$B$5:$K$29,2,TRUE)</f>
        <v>0.7</v>
      </c>
      <c r="E246" s="37">
        <f>VLOOKUP($C246,Profile!$B$5:$K$29,7,TRUE)</f>
        <v>0.71499999999999997</v>
      </c>
      <c r="F246">
        <f t="shared" si="12"/>
        <v>1.2500000000000011E-3</v>
      </c>
      <c r="G246">
        <v>-1.0885449467081521E-3</v>
      </c>
      <c r="H246" s="37"/>
      <c r="I246">
        <v>3.3722090029278805E-2</v>
      </c>
      <c r="J246" s="38">
        <f>-VLOOKUP($C246,Profile!$B$5:$K$29,3,TRUE)*($G246+$I246)</f>
        <v>-2.2843481557799454</v>
      </c>
      <c r="K246" s="37"/>
      <c r="O246">
        <v>0.12267199293029242</v>
      </c>
      <c r="P246" s="38">
        <f>VLOOKUP($C246,Profile!$B$5:$K$29,5,TRUE)*$O246</f>
        <v>1.4311732508534114</v>
      </c>
      <c r="Q246">
        <f t="shared" si="14"/>
        <v>168.39303465454378</v>
      </c>
    </row>
    <row r="247" spans="1:17" x14ac:dyDescent="0.25">
      <c r="A247" s="1">
        <v>0.68055555555588698</v>
      </c>
      <c r="B247">
        <f t="shared" si="13"/>
        <v>1220</v>
      </c>
      <c r="C247">
        <f t="shared" si="11"/>
        <v>980</v>
      </c>
      <c r="D247">
        <f>VLOOKUP($C247,Profile!$B$5:$K$29,2,TRUE)</f>
        <v>0.7</v>
      </c>
      <c r="E247" s="37">
        <f>VLOOKUP($C247,Profile!$B$5:$K$29,7,TRUE)</f>
        <v>0.71499999999999997</v>
      </c>
      <c r="F247">
        <f t="shared" si="12"/>
        <v>1.2500000000000011E-3</v>
      </c>
      <c r="G247">
        <v>-1.0569945674481444E-3</v>
      </c>
      <c r="H247" s="37"/>
      <c r="I247">
        <v>2.9234330445185086E-2</v>
      </c>
      <c r="J247" s="38">
        <f>-VLOOKUP($C247,Profile!$B$5:$K$29,3,TRUE)*($G247+$I247)</f>
        <v>-1.9724135114415859</v>
      </c>
      <c r="K247" s="37"/>
      <c r="O247">
        <v>0.10444379913209774</v>
      </c>
      <c r="P247" s="38">
        <f>VLOOKUP($C247,Profile!$B$5:$K$29,5,TRUE)*$O247</f>
        <v>1.2185109898744735</v>
      </c>
      <c r="Q247">
        <f t="shared" si="14"/>
        <v>167.63913213297667</v>
      </c>
    </row>
    <row r="248" spans="1:17" x14ac:dyDescent="0.25">
      <c r="A248" s="1">
        <v>0.68402777777810697</v>
      </c>
      <c r="B248">
        <f t="shared" si="13"/>
        <v>1225</v>
      </c>
      <c r="C248">
        <f t="shared" si="11"/>
        <v>985</v>
      </c>
      <c r="D248">
        <f>VLOOKUP($C248,Profile!$B$5:$K$29,2,TRUE)</f>
        <v>0.7</v>
      </c>
      <c r="E248" s="37">
        <f>VLOOKUP($C248,Profile!$B$5:$K$29,7,TRUE)</f>
        <v>0.71499999999999997</v>
      </c>
      <c r="F248">
        <f t="shared" si="12"/>
        <v>1.2500000000000011E-3</v>
      </c>
      <c r="G248">
        <v>-1.0175199809311817E-3</v>
      </c>
      <c r="H248" s="37"/>
      <c r="I248">
        <v>2.4938581864815641E-2</v>
      </c>
      <c r="J248" s="38">
        <f>-VLOOKUP($C248,Profile!$B$5:$K$29,3,TRUE)*($G248+$I248)</f>
        <v>-1.6744743318719122</v>
      </c>
      <c r="K248" s="37"/>
      <c r="O248">
        <v>8.7502373764474867E-2</v>
      </c>
      <c r="P248" s="38">
        <f>VLOOKUP($C248,Profile!$B$5:$K$29,5,TRUE)*$O248</f>
        <v>1.0208610272522067</v>
      </c>
      <c r="Q248">
        <f t="shared" si="14"/>
        <v>166.98551882835696</v>
      </c>
    </row>
    <row r="249" spans="1:17" x14ac:dyDescent="0.25">
      <c r="A249" s="1">
        <v>0.68750000000032696</v>
      </c>
      <c r="B249">
        <f t="shared" si="13"/>
        <v>1230</v>
      </c>
      <c r="C249">
        <f t="shared" si="11"/>
        <v>990</v>
      </c>
      <c r="D249">
        <f>VLOOKUP($C249,Profile!$B$5:$K$29,2,TRUE)</f>
        <v>0.7</v>
      </c>
      <c r="E249" s="37">
        <f>VLOOKUP($C249,Profile!$B$5:$K$29,7,TRUE)</f>
        <v>0.71499999999999997</v>
      </c>
      <c r="F249">
        <f t="shared" si="12"/>
        <v>1.2500000000000011E-3</v>
      </c>
      <c r="G249">
        <v>-9.7118621603746967E-4</v>
      </c>
      <c r="H249" s="37"/>
      <c r="I249">
        <v>2.0832475380698125E-2</v>
      </c>
      <c r="J249" s="38">
        <f>-VLOOKUP($C249,Profile!$B$5:$K$29,3,TRUE)*($G249+$I249)</f>
        <v>-1.3902902415262459</v>
      </c>
      <c r="K249" s="37"/>
      <c r="O249">
        <v>7.1787285264305348E-2</v>
      </c>
      <c r="P249" s="38">
        <f>VLOOKUP($C249,Profile!$B$5:$K$29,5,TRUE)*$O249</f>
        <v>0.8375183280835623</v>
      </c>
      <c r="Q249">
        <f t="shared" si="14"/>
        <v>166.43274691491428</v>
      </c>
    </row>
    <row r="250" spans="1:17" x14ac:dyDescent="0.25">
      <c r="A250" s="1">
        <v>0.69097222222254695</v>
      </c>
      <c r="B250">
        <f t="shared" si="13"/>
        <v>1235</v>
      </c>
      <c r="C250">
        <f t="shared" si="11"/>
        <v>995</v>
      </c>
      <c r="D250">
        <f>VLOOKUP($C250,Profile!$B$5:$K$29,2,TRUE)</f>
        <v>0.7</v>
      </c>
      <c r="E250" s="37">
        <f>VLOOKUP($C250,Profile!$B$5:$K$29,7,TRUE)</f>
        <v>0.71499999999999997</v>
      </c>
      <c r="F250">
        <f t="shared" si="12"/>
        <v>1.2500000000000011E-3</v>
      </c>
      <c r="G250">
        <v>-9.1896692338526507E-4</v>
      </c>
      <c r="H250" s="37"/>
      <c r="I250">
        <v>1.6913231133582941E-2</v>
      </c>
      <c r="J250" s="38">
        <f>-VLOOKUP($C250,Profile!$B$5:$K$29,3,TRUE)*($G250+$I250)</f>
        <v>-1.1195984947138373</v>
      </c>
      <c r="K250" s="37"/>
      <c r="O250">
        <v>5.7238969809665446E-2</v>
      </c>
      <c r="P250" s="38">
        <f>VLOOKUP($C250,Profile!$B$5:$K$29,5,TRUE)*$O250</f>
        <v>0.6677879811127635</v>
      </c>
      <c r="Q250">
        <f t="shared" si="14"/>
        <v>165.98093640131319</v>
      </c>
    </row>
    <row r="251" spans="1:17" x14ac:dyDescent="0.25">
      <c r="A251" s="1">
        <v>0.69444444444476705</v>
      </c>
      <c r="B251">
        <f t="shared" si="13"/>
        <v>1240</v>
      </c>
      <c r="C251">
        <f t="shared" si="11"/>
        <v>1000</v>
      </c>
      <c r="D251">
        <f>VLOOKUP($C251,Profile!$B$5:$K$29,2,TRUE)</f>
        <v>0.7</v>
      </c>
      <c r="E251" s="37">
        <f>VLOOKUP($C251,Profile!$B$5:$K$29,7,TRUE)</f>
        <v>0.71499999999999997</v>
      </c>
      <c r="F251">
        <f t="shared" si="12"/>
        <v>1.2500000000000011E-3</v>
      </c>
      <c r="G251">
        <v>-8.6175090537136381E-4</v>
      </c>
      <c r="H251" s="37"/>
      <c r="I251">
        <v>1.3177709562478459E-2</v>
      </c>
      <c r="J251" s="38">
        <f>-VLOOKUP($C251,Profile!$B$5:$K$29,3,TRUE)*($G251+$I251)</f>
        <v>-0.86211710599749658</v>
      </c>
      <c r="K251" s="37"/>
      <c r="O251">
        <v>4.3798952912093202E-2</v>
      </c>
      <c r="P251" s="38">
        <f>VLOOKUP($C251,Profile!$B$5:$K$29,5,TRUE)*$O251</f>
        <v>0.51098778397442068</v>
      </c>
      <c r="Q251">
        <f t="shared" si="14"/>
        <v>165.62980707929012</v>
      </c>
    </row>
    <row r="252" spans="1:17" x14ac:dyDescent="0.25">
      <c r="A252" s="1">
        <v>0.69791666666698604</v>
      </c>
      <c r="B252">
        <f t="shared" si="13"/>
        <v>1245</v>
      </c>
      <c r="C252">
        <f t="shared" si="11"/>
        <v>1005</v>
      </c>
      <c r="D252">
        <f>VLOOKUP($C252,Profile!$B$5:$K$29,2,TRUE)</f>
        <v>0.7</v>
      </c>
      <c r="E252" s="37">
        <f>VLOOKUP($C252,Profile!$B$5:$K$29,7,TRUE)</f>
        <v>0.71499999999999997</v>
      </c>
      <c r="F252">
        <f t="shared" si="12"/>
        <v>1.2500000000000011E-3</v>
      </c>
      <c r="G252">
        <v>-8.0034822515870883E-4</v>
      </c>
      <c r="H252" s="37"/>
      <c r="I252">
        <v>9.6224584953698809E-3</v>
      </c>
      <c r="J252" s="38">
        <f>-VLOOKUP($C252,Profile!$B$5:$K$29,3,TRUE)*($G252+$I252)</f>
        <v>-0.61754771891478211</v>
      </c>
      <c r="K252" s="37"/>
      <c r="O252">
        <v>3.1410034616261323E-2</v>
      </c>
      <c r="P252" s="38">
        <f>VLOOKUP($C252,Profile!$B$5:$K$29,5,TRUE)*$O252</f>
        <v>0.36645040385638206</v>
      </c>
      <c r="Q252">
        <f t="shared" si="14"/>
        <v>165.37870976423173</v>
      </c>
    </row>
    <row r="253" spans="1:17" x14ac:dyDescent="0.25">
      <c r="A253" s="1">
        <v>0.70138888888920603</v>
      </c>
      <c r="B253">
        <f t="shared" si="13"/>
        <v>1250</v>
      </c>
      <c r="C253">
        <f t="shared" si="11"/>
        <v>1010</v>
      </c>
      <c r="D253">
        <f>VLOOKUP($C253,Profile!$B$5:$K$29,2,TRUE)</f>
        <v>0.7</v>
      </c>
      <c r="E253" s="37">
        <f>VLOOKUP($C253,Profile!$B$5:$K$29,7,TRUE)</f>
        <v>0.71499999999999997</v>
      </c>
      <c r="F253">
        <f t="shared" si="12"/>
        <v>1.2500000000000011E-3</v>
      </c>
      <c r="G253">
        <v>-7.3549592000849166E-4</v>
      </c>
      <c r="H253" s="37"/>
      <c r="I253">
        <v>6.2437563662637134E-3</v>
      </c>
      <c r="J253" s="38">
        <f>-VLOOKUP($C253,Profile!$B$5:$K$29,3,TRUE)*($G253+$I253)</f>
        <v>-0.38557823123786555</v>
      </c>
      <c r="K253" s="37"/>
      <c r="O253">
        <v>2.001644228856702E-2</v>
      </c>
      <c r="P253" s="38">
        <f>VLOOKUP($C253,Profile!$B$5:$K$29,5,TRUE)*$O253</f>
        <v>0.23352516003328189</v>
      </c>
      <c r="Q253">
        <f t="shared" si="14"/>
        <v>165.22665669302714</v>
      </c>
    </row>
    <row r="254" spans="1:17" x14ac:dyDescent="0.25">
      <c r="A254" s="1">
        <v>0.70486111111142602</v>
      </c>
      <c r="B254">
        <f t="shared" si="13"/>
        <v>1255</v>
      </c>
      <c r="C254">
        <f t="shared" si="11"/>
        <v>1015</v>
      </c>
      <c r="D254">
        <f>VLOOKUP($C254,Profile!$B$5:$K$29,2,TRUE)</f>
        <v>0.7</v>
      </c>
      <c r="E254" s="37">
        <f>VLOOKUP($C254,Profile!$B$5:$K$29,7,TRUE)</f>
        <v>0.71499999999999997</v>
      </c>
      <c r="F254">
        <f t="shared" si="12"/>
        <v>1.2500000000000011E-3</v>
      </c>
      <c r="G254">
        <v>-6.6786334289255353E-4</v>
      </c>
      <c r="H254" s="37"/>
      <c r="I254">
        <v>3.0376518263192853E-3</v>
      </c>
      <c r="J254" s="38">
        <f>-VLOOKUP($C254,Profile!$B$5:$K$29,3,TRUE)*($G254+$I254)</f>
        <v>-0.16588519383987121</v>
      </c>
      <c r="K254" s="37"/>
      <c r="O254">
        <v>9.5639546039567869E-3</v>
      </c>
      <c r="P254" s="38">
        <f>VLOOKUP($C254,Profile!$B$5:$K$29,5,TRUE)*$O254</f>
        <v>0.11157947037949584</v>
      </c>
      <c r="Q254">
        <f t="shared" si="14"/>
        <v>165.17235096956676</v>
      </c>
    </row>
    <row r="255" spans="1:17" x14ac:dyDescent="0.25">
      <c r="A255" s="1">
        <v>0.70833333333364601</v>
      </c>
      <c r="B255">
        <f t="shared" si="13"/>
        <v>1260</v>
      </c>
      <c r="C255">
        <f t="shared" si="11"/>
        <v>1020</v>
      </c>
      <c r="D255">
        <f>VLOOKUP($C255,Profile!$B$5:$K$29,2,TRUE)</f>
        <v>0.69</v>
      </c>
      <c r="E255" s="37">
        <f>VLOOKUP($C255,Profile!$B$5:$K$29,7,TRUE)</f>
        <v>0.71499999999999997</v>
      </c>
      <c r="F255">
        <f t="shared" si="12"/>
        <v>2.083333333333335E-3</v>
      </c>
      <c r="G255">
        <v>-5.9805715494155723E-4</v>
      </c>
      <c r="H255" s="37"/>
      <c r="I255">
        <v>0</v>
      </c>
      <c r="J255" s="38">
        <f>-VLOOKUP($C255,Profile!$B$5:$K$29,3,TRUE)*($G255+$I255)</f>
        <v>4.1864000845909008E-2</v>
      </c>
      <c r="K255" s="37"/>
      <c r="O255">
        <v>0</v>
      </c>
      <c r="P255" s="38">
        <f>VLOOKUP($C255,Profile!$B$5:$K$29,5,TRUE)*$O255</f>
        <v>0</v>
      </c>
      <c r="Q255">
        <f t="shared" si="14"/>
        <v>165.21421497041268</v>
      </c>
    </row>
    <row r="256" spans="1:17" x14ac:dyDescent="0.25">
      <c r="A256" s="1">
        <v>0.711805555555866</v>
      </c>
      <c r="B256">
        <f t="shared" si="13"/>
        <v>1265</v>
      </c>
      <c r="C256">
        <f t="shared" si="11"/>
        <v>1025</v>
      </c>
      <c r="D256">
        <f>VLOOKUP($C256,Profile!$B$5:$K$29,2,TRUE)</f>
        <v>0.69</v>
      </c>
      <c r="E256" s="37">
        <f>VLOOKUP($C256,Profile!$B$5:$K$29,7,TRUE)</f>
        <v>0.71499999999999997</v>
      </c>
      <c r="F256">
        <f t="shared" si="12"/>
        <v>2.083333333333335E-3</v>
      </c>
      <c r="G256">
        <v>-5.2245939366756097E-4</v>
      </c>
      <c r="H256" s="37"/>
      <c r="I256">
        <v>0</v>
      </c>
      <c r="J256" s="38">
        <f>-VLOOKUP($C256,Profile!$B$5:$K$29,3,TRUE)*($G256+$I256)</f>
        <v>3.6572157556729268E-2</v>
      </c>
      <c r="K256" s="37"/>
      <c r="O256">
        <v>0</v>
      </c>
      <c r="P256" s="38">
        <f>VLOOKUP($C256,Profile!$B$5:$K$29,5,TRUE)*$O256</f>
        <v>0</v>
      </c>
      <c r="Q256">
        <f t="shared" si="14"/>
        <v>165.2507871279694</v>
      </c>
    </row>
    <row r="257" spans="1:17" x14ac:dyDescent="0.25">
      <c r="A257" s="1">
        <v>0.71527777777808599</v>
      </c>
      <c r="B257">
        <f t="shared" si="13"/>
        <v>1270</v>
      </c>
      <c r="C257">
        <f t="shared" si="11"/>
        <v>1030</v>
      </c>
      <c r="D257">
        <f>VLOOKUP($C257,Profile!$B$5:$K$29,2,TRUE)</f>
        <v>0.69</v>
      </c>
      <c r="E257" s="37">
        <f>VLOOKUP($C257,Profile!$B$5:$K$29,7,TRUE)</f>
        <v>0.71499999999999997</v>
      </c>
      <c r="F257">
        <f t="shared" si="12"/>
        <v>2.083333333333335E-3</v>
      </c>
      <c r="G257">
        <v>-4.4206237727420809E-4</v>
      </c>
      <c r="H257" s="37"/>
      <c r="I257">
        <v>0</v>
      </c>
      <c r="J257" s="38">
        <f>-VLOOKUP($C257,Profile!$B$5:$K$29,3,TRUE)*($G257+$I257)</f>
        <v>3.0944366409194565E-2</v>
      </c>
      <c r="K257" s="37"/>
      <c r="O257">
        <v>0</v>
      </c>
      <c r="P257" s="38">
        <f>VLOOKUP($C257,Profile!$B$5:$K$29,5,TRUE)*$O257</f>
        <v>0</v>
      </c>
      <c r="Q257">
        <f t="shared" si="14"/>
        <v>165.28173149437859</v>
      </c>
    </row>
    <row r="258" spans="1:17" x14ac:dyDescent="0.25">
      <c r="A258" s="1">
        <v>0.71875000000030598</v>
      </c>
      <c r="B258">
        <f t="shared" si="13"/>
        <v>1275</v>
      </c>
      <c r="C258">
        <f t="shared" si="11"/>
        <v>1035</v>
      </c>
      <c r="D258">
        <f>VLOOKUP($C258,Profile!$B$5:$K$29,2,TRUE)</f>
        <v>0.69</v>
      </c>
      <c r="E258" s="37">
        <f>VLOOKUP($C258,Profile!$B$5:$K$29,7,TRUE)</f>
        <v>0.71499999999999997</v>
      </c>
      <c r="F258">
        <f t="shared" si="12"/>
        <v>2.083333333333335E-3</v>
      </c>
      <c r="G258">
        <v>-3.5776758044777344E-4</v>
      </c>
      <c r="H258" s="37"/>
      <c r="I258">
        <v>0</v>
      </c>
      <c r="J258" s="38">
        <f>-VLOOKUP($C258,Profile!$B$5:$K$29,3,TRUE)*($G258+$I258)</f>
        <v>2.504373063134414E-2</v>
      </c>
      <c r="K258" s="37"/>
      <c r="O258">
        <v>0</v>
      </c>
      <c r="P258" s="38">
        <f>VLOOKUP($C258,Profile!$B$5:$K$29,5,TRUE)*$O258</f>
        <v>0</v>
      </c>
      <c r="Q258">
        <f t="shared" si="14"/>
        <v>165.30677522500994</v>
      </c>
    </row>
    <row r="259" spans="1:17" x14ac:dyDescent="0.25">
      <c r="A259" s="1">
        <v>0.72222222222252597</v>
      </c>
      <c r="B259">
        <f t="shared" si="13"/>
        <v>1280</v>
      </c>
      <c r="C259">
        <f t="shared" ref="C259:C322" si="15">MOD(INT(A259/Minute),1440)</f>
        <v>1040</v>
      </c>
      <c r="D259">
        <f>VLOOKUP($C259,Profile!$B$5:$K$29,2,TRUE)</f>
        <v>0.69</v>
      </c>
      <c r="E259" s="37">
        <f>VLOOKUP($C259,Profile!$B$5:$K$29,7,TRUE)</f>
        <v>0.71499999999999997</v>
      </c>
      <c r="F259">
        <f t="shared" si="12"/>
        <v>2.083333333333335E-3</v>
      </c>
      <c r="G259">
        <v>-2.7039233167916948E-4</v>
      </c>
      <c r="H259" s="37"/>
      <c r="I259">
        <v>0</v>
      </c>
      <c r="J259" s="38">
        <f>-VLOOKUP($C259,Profile!$B$5:$K$29,3,TRUE)*($G259+$I259)</f>
        <v>1.8927463217541865E-2</v>
      </c>
      <c r="K259" s="37"/>
      <c r="O259">
        <v>0</v>
      </c>
      <c r="P259" s="38">
        <f>VLOOKUP($C259,Profile!$B$5:$K$29,5,TRUE)*$O259</f>
        <v>0</v>
      </c>
      <c r="Q259">
        <f t="shared" si="14"/>
        <v>165.32570268822749</v>
      </c>
    </row>
    <row r="260" spans="1:17" x14ac:dyDescent="0.25">
      <c r="A260" s="1">
        <v>0.72569444444474496</v>
      </c>
      <c r="B260">
        <f t="shared" si="13"/>
        <v>1285</v>
      </c>
      <c r="C260">
        <f t="shared" si="15"/>
        <v>1045</v>
      </c>
      <c r="D260">
        <f>VLOOKUP($C260,Profile!$B$5:$K$29,2,TRUE)</f>
        <v>0.69</v>
      </c>
      <c r="E260" s="37">
        <f>VLOOKUP($C260,Profile!$B$5:$K$29,7,TRUE)</f>
        <v>0.71499999999999997</v>
      </c>
      <c r="F260">
        <f t="shared" ref="F260:F323" si="16">+(E260-D260)/12</f>
        <v>2.083333333333335E-3</v>
      </c>
      <c r="G260">
        <v>-1.8067607065883255E-4</v>
      </c>
      <c r="H260" s="37"/>
      <c r="I260">
        <v>0</v>
      </c>
      <c r="J260" s="38">
        <f>-VLOOKUP($C260,Profile!$B$5:$K$29,3,TRUE)*($G260+$I260)</f>
        <v>1.2647324946118279E-2</v>
      </c>
      <c r="K260" s="37"/>
      <c r="O260">
        <v>0</v>
      </c>
      <c r="P260" s="38">
        <f>VLOOKUP($C260,Profile!$B$5:$K$29,5,TRUE)*$O260</f>
        <v>0</v>
      </c>
      <c r="Q260">
        <f t="shared" si="14"/>
        <v>165.33835001317362</v>
      </c>
    </row>
    <row r="261" spans="1:17" x14ac:dyDescent="0.25">
      <c r="A261" s="1">
        <v>0.72916666666696495</v>
      </c>
      <c r="B261">
        <f t="shared" ref="B261:B324" si="17">+B260+5</f>
        <v>1290</v>
      </c>
      <c r="C261">
        <f t="shared" si="15"/>
        <v>1050</v>
      </c>
      <c r="D261">
        <f>VLOOKUP($C261,Profile!$B$5:$K$29,2,TRUE)</f>
        <v>0.69</v>
      </c>
      <c r="E261" s="37">
        <f>VLOOKUP($C261,Profile!$B$5:$K$29,7,TRUE)</f>
        <v>0.71499999999999997</v>
      </c>
      <c r="F261">
        <f t="shared" si="16"/>
        <v>2.083333333333335E-3</v>
      </c>
      <c r="G261">
        <v>-8.9286192611021342E-5</v>
      </c>
      <c r="H261" s="37"/>
      <c r="I261">
        <v>0</v>
      </c>
      <c r="J261" s="38">
        <f>-VLOOKUP($C261,Profile!$B$5:$K$29,3,TRUE)*($G261+$I261)</f>
        <v>6.2500334827714941E-3</v>
      </c>
      <c r="K261" s="37"/>
      <c r="O261">
        <v>0</v>
      </c>
      <c r="P261" s="38">
        <f>VLOOKUP($C261,Profile!$B$5:$K$29,5,TRUE)*$O261</f>
        <v>0</v>
      </c>
      <c r="Q261">
        <f t="shared" si="14"/>
        <v>165.34460004665638</v>
      </c>
    </row>
    <row r="262" spans="1:17" x14ac:dyDescent="0.25">
      <c r="A262" s="1">
        <v>0.73263888888918505</v>
      </c>
      <c r="B262">
        <f t="shared" si="17"/>
        <v>1295</v>
      </c>
      <c r="C262">
        <f t="shared" si="15"/>
        <v>1055</v>
      </c>
      <c r="D262">
        <f>VLOOKUP($C262,Profile!$B$5:$K$29,2,TRUE)</f>
        <v>0.69</v>
      </c>
      <c r="E262" s="37">
        <f>VLOOKUP($C262,Profile!$B$5:$K$29,7,TRUE)</f>
        <v>0.71499999999999997</v>
      </c>
      <c r="F262">
        <f t="shared" si="16"/>
        <v>2.083333333333335E-3</v>
      </c>
      <c r="G262">
        <v>3.1764951258269989E-6</v>
      </c>
      <c r="H262" s="37"/>
      <c r="I262">
        <v>0</v>
      </c>
      <c r="J262" s="38">
        <f>-VLOOKUP($C262,Profile!$B$5:$K$29,3,TRUE)*($G262+$I262)</f>
        <v>-2.2235465880788993E-4</v>
      </c>
      <c r="K262" s="37"/>
      <c r="O262">
        <v>0</v>
      </c>
      <c r="P262" s="38">
        <f>VLOOKUP($C262,Profile!$B$5:$K$29,5,TRUE)*$O262</f>
        <v>0</v>
      </c>
      <c r="Q262">
        <f t="shared" si="14"/>
        <v>165.34437769199758</v>
      </c>
    </row>
    <row r="263" spans="1:17" x14ac:dyDescent="0.25">
      <c r="A263" s="1">
        <v>0.73611111111140504</v>
      </c>
      <c r="B263">
        <f t="shared" si="17"/>
        <v>1300</v>
      </c>
      <c r="C263">
        <f t="shared" si="15"/>
        <v>1060</v>
      </c>
      <c r="D263">
        <f>VLOOKUP($C263,Profile!$B$5:$K$29,2,TRUE)</f>
        <v>0.69</v>
      </c>
      <c r="E263" s="37">
        <f>VLOOKUP($C263,Profile!$B$5:$K$29,7,TRUE)</f>
        <v>0.71499999999999997</v>
      </c>
      <c r="F263">
        <f t="shared" si="16"/>
        <v>2.083333333333335E-3</v>
      </c>
      <c r="G263">
        <v>9.6172680438670496E-5</v>
      </c>
      <c r="H263" s="37"/>
      <c r="I263">
        <v>0</v>
      </c>
      <c r="J263" s="38">
        <f>-VLOOKUP($C263,Profile!$B$5:$K$29,3,TRUE)*($G263+$I263)</f>
        <v>-6.7320876307069349E-3</v>
      </c>
      <c r="K263" s="37"/>
      <c r="O263">
        <v>0</v>
      </c>
      <c r="P263" s="38">
        <f>VLOOKUP($C263,Profile!$B$5:$K$29,5,TRUE)*$O263</f>
        <v>0</v>
      </c>
      <c r="Q263">
        <f t="shared" si="14"/>
        <v>165.33764560436688</v>
      </c>
    </row>
    <row r="264" spans="1:17" x14ac:dyDescent="0.25">
      <c r="A264" s="1">
        <v>0.73958333333362503</v>
      </c>
      <c r="B264">
        <f t="shared" si="17"/>
        <v>1305</v>
      </c>
      <c r="C264">
        <f t="shared" si="15"/>
        <v>1065</v>
      </c>
      <c r="D264">
        <f>VLOOKUP($C264,Profile!$B$5:$K$29,2,TRUE)</f>
        <v>0.69</v>
      </c>
      <c r="E264" s="37">
        <f>VLOOKUP($C264,Profile!$B$5:$K$29,7,TRUE)</f>
        <v>0.71499999999999997</v>
      </c>
      <c r="F264">
        <f t="shared" si="16"/>
        <v>2.083333333333335E-3</v>
      </c>
      <c r="G264">
        <v>1.8921979525548358E-4</v>
      </c>
      <c r="H264" s="37"/>
      <c r="I264">
        <v>0</v>
      </c>
      <c r="J264" s="38">
        <f>-VLOOKUP($C264,Profile!$B$5:$K$29,3,TRUE)*($G264+$I264)</f>
        <v>-1.3245385667883851E-2</v>
      </c>
      <c r="K264" s="37"/>
      <c r="O264">
        <v>0</v>
      </c>
      <c r="P264" s="38">
        <f>VLOOKUP($C264,Profile!$B$5:$K$29,5,TRUE)*$O264</f>
        <v>0</v>
      </c>
      <c r="Q264">
        <f t="shared" si="14"/>
        <v>165.324400218699</v>
      </c>
    </row>
    <row r="265" spans="1:17" x14ac:dyDescent="0.25">
      <c r="A265" s="1">
        <v>0.74305555555584502</v>
      </c>
      <c r="B265">
        <f t="shared" si="17"/>
        <v>1310</v>
      </c>
      <c r="C265">
        <f t="shared" si="15"/>
        <v>1070</v>
      </c>
      <c r="D265">
        <f>VLOOKUP($C265,Profile!$B$5:$K$29,2,TRUE)</f>
        <v>0.69</v>
      </c>
      <c r="E265" s="37">
        <f>VLOOKUP($C265,Profile!$B$5:$K$29,7,TRUE)</f>
        <v>0.71499999999999997</v>
      </c>
      <c r="F265">
        <f t="shared" si="16"/>
        <v>2.083333333333335E-3</v>
      </c>
      <c r="G265">
        <v>2.8188758470512327E-4</v>
      </c>
      <c r="H265" s="37"/>
      <c r="I265">
        <v>0</v>
      </c>
      <c r="J265" s="38">
        <f>-VLOOKUP($C265,Profile!$B$5:$K$29,3,TRUE)*($G265+$I265)</f>
        <v>-1.9732130929358629E-2</v>
      </c>
      <c r="K265" s="37"/>
      <c r="O265">
        <v>0</v>
      </c>
      <c r="P265" s="38">
        <f>VLOOKUP($C265,Profile!$B$5:$K$29,5,TRUE)*$O265</f>
        <v>0</v>
      </c>
      <c r="Q265">
        <f t="shared" si="14"/>
        <v>165.30466808776964</v>
      </c>
    </row>
    <row r="266" spans="1:17" x14ac:dyDescent="0.25">
      <c r="A266" s="1">
        <v>0.746527777778065</v>
      </c>
      <c r="B266">
        <f t="shared" si="17"/>
        <v>1315</v>
      </c>
      <c r="C266">
        <f t="shared" si="15"/>
        <v>1075</v>
      </c>
      <c r="D266">
        <f>VLOOKUP($C266,Profile!$B$5:$K$29,2,TRUE)</f>
        <v>0.69</v>
      </c>
      <c r="E266" s="37">
        <f>VLOOKUP($C266,Profile!$B$5:$K$29,7,TRUE)</f>
        <v>0.71499999999999997</v>
      </c>
      <c r="F266">
        <f t="shared" si="16"/>
        <v>2.083333333333335E-3</v>
      </c>
      <c r="G266">
        <v>3.7379397672797989E-4</v>
      </c>
      <c r="H266" s="37"/>
      <c r="I266">
        <v>0</v>
      </c>
      <c r="J266" s="38">
        <f>-VLOOKUP($C266,Profile!$B$5:$K$29,3,TRUE)*($G266+$I266)</f>
        <v>-2.6165578370958592E-2</v>
      </c>
      <c r="K266" s="37"/>
      <c r="O266">
        <v>0</v>
      </c>
      <c r="P266" s="38">
        <f>VLOOKUP($C266,Profile!$B$5:$K$29,5,TRUE)*$O266</f>
        <v>0</v>
      </c>
      <c r="Q266">
        <f t="shared" si="14"/>
        <v>165.27850250939869</v>
      </c>
    </row>
    <row r="267" spans="1:17" x14ac:dyDescent="0.25">
      <c r="A267" s="1">
        <v>0.75000000000028499</v>
      </c>
      <c r="B267">
        <f t="shared" si="17"/>
        <v>1320</v>
      </c>
      <c r="C267">
        <f t="shared" si="15"/>
        <v>1080</v>
      </c>
      <c r="D267">
        <f>VLOOKUP($C267,Profile!$B$5:$K$29,2,TRUE)</f>
        <v>0.69</v>
      </c>
      <c r="E267" s="37">
        <f>VLOOKUP($C267,Profile!$B$5:$K$29,7,TRUE)</f>
        <v>0.71499999999999997</v>
      </c>
      <c r="F267">
        <f t="shared" si="16"/>
        <v>2.083333333333335E-3</v>
      </c>
      <c r="G267">
        <v>4.6460123341251819E-4</v>
      </c>
      <c r="H267" s="37"/>
      <c r="I267">
        <v>0</v>
      </c>
      <c r="J267" s="38">
        <f>-VLOOKUP($C267,Profile!$B$5:$K$29,3,TRUE)*($G267+$I267)</f>
        <v>-3.2522086338876273E-2</v>
      </c>
      <c r="K267" s="37"/>
      <c r="O267">
        <v>0</v>
      </c>
      <c r="P267" s="38">
        <f>VLOOKUP($C267,Profile!$B$5:$K$29,5,TRUE)*$O267</f>
        <v>0</v>
      </c>
      <c r="Q267">
        <f t="shared" si="14"/>
        <v>165.24598042305982</v>
      </c>
    </row>
    <row r="268" spans="1:17" x14ac:dyDescent="0.25">
      <c r="A268" s="1">
        <v>0.75347222222250398</v>
      </c>
      <c r="B268">
        <f t="shared" si="17"/>
        <v>1325</v>
      </c>
      <c r="C268">
        <f t="shared" si="15"/>
        <v>1085</v>
      </c>
      <c r="D268">
        <f>VLOOKUP($C268,Profile!$B$5:$K$29,2,TRUE)</f>
        <v>0.69</v>
      </c>
      <c r="E268" s="37">
        <f>VLOOKUP($C268,Profile!$B$5:$K$29,7,TRUE)</f>
        <v>0.71499999999999997</v>
      </c>
      <c r="F268">
        <f t="shared" si="16"/>
        <v>2.083333333333335E-3</v>
      </c>
      <c r="G268">
        <v>5.5371304306268997E-4</v>
      </c>
      <c r="H268" s="37"/>
      <c r="I268">
        <v>0</v>
      </c>
      <c r="J268" s="38">
        <f>-VLOOKUP($C268,Profile!$B$5:$K$29,3,TRUE)*($G268+$I268)</f>
        <v>-3.8759913014388296E-2</v>
      </c>
      <c r="K268" s="37"/>
      <c r="O268">
        <v>0</v>
      </c>
      <c r="P268" s="38">
        <f>VLOOKUP($C268,Profile!$B$5:$K$29,5,TRUE)*$O268</f>
        <v>0</v>
      </c>
      <c r="Q268">
        <f t="shared" si="14"/>
        <v>165.20722051004543</v>
      </c>
    </row>
    <row r="269" spans="1:17" x14ac:dyDescent="0.25">
      <c r="A269" s="1">
        <v>0.75694444444472397</v>
      </c>
      <c r="B269">
        <f t="shared" si="17"/>
        <v>1330</v>
      </c>
      <c r="C269">
        <f t="shared" si="15"/>
        <v>1090</v>
      </c>
      <c r="D269">
        <f>VLOOKUP($C269,Profile!$B$5:$K$29,2,TRUE)</f>
        <v>0.69</v>
      </c>
      <c r="E269" s="37">
        <f>VLOOKUP($C269,Profile!$B$5:$K$29,7,TRUE)</f>
        <v>0.71499999999999997</v>
      </c>
      <c r="F269">
        <f t="shared" si="16"/>
        <v>2.083333333333335E-3</v>
      </c>
      <c r="G269">
        <v>6.4088646657497073E-4</v>
      </c>
      <c r="H269" s="37"/>
      <c r="I269">
        <v>0</v>
      </c>
      <c r="J269" s="38">
        <f>-VLOOKUP($C269,Profile!$B$5:$K$29,3,TRUE)*($G269+$I269)</f>
        <v>-4.4862052660247953E-2</v>
      </c>
      <c r="K269" s="37"/>
      <c r="O269">
        <v>0</v>
      </c>
      <c r="P269" s="38">
        <f>VLOOKUP($C269,Profile!$B$5:$K$29,5,TRUE)*$O269</f>
        <v>0</v>
      </c>
      <c r="Q269">
        <f t="shared" si="14"/>
        <v>165.16235845738518</v>
      </c>
    </row>
    <row r="270" spans="1:17" x14ac:dyDescent="0.25">
      <c r="A270" s="1">
        <v>0.76041666666694396</v>
      </c>
      <c r="B270">
        <f t="shared" si="17"/>
        <v>1335</v>
      </c>
      <c r="C270">
        <f t="shared" si="15"/>
        <v>1095</v>
      </c>
      <c r="D270">
        <f>VLOOKUP($C270,Profile!$B$5:$K$29,2,TRUE)</f>
        <v>0.69</v>
      </c>
      <c r="E270" s="37">
        <f>VLOOKUP($C270,Profile!$B$5:$K$29,7,TRUE)</f>
        <v>0.71499999999999997</v>
      </c>
      <c r="F270">
        <f t="shared" si="16"/>
        <v>2.083333333333335E-3</v>
      </c>
      <c r="G270">
        <v>7.2591239956762399E-4</v>
      </c>
      <c r="H270" s="37"/>
      <c r="I270">
        <v>0</v>
      </c>
      <c r="J270" s="38">
        <f>-VLOOKUP($C270,Profile!$B$5:$K$29,3,TRUE)*($G270+$I270)</f>
        <v>-5.0813867969733681E-2</v>
      </c>
      <c r="K270" s="37"/>
      <c r="O270">
        <v>0</v>
      </c>
      <c r="P270" s="38">
        <f>VLOOKUP($C270,Profile!$B$5:$K$29,5,TRUE)*$O270</f>
        <v>0</v>
      </c>
      <c r="Q270">
        <f t="shared" si="14"/>
        <v>165.11154458941544</v>
      </c>
    </row>
    <row r="271" spans="1:17" x14ac:dyDescent="0.25">
      <c r="A271" s="1">
        <v>0.76388888888916395</v>
      </c>
      <c r="B271">
        <f t="shared" si="17"/>
        <v>1340</v>
      </c>
      <c r="C271">
        <f t="shared" si="15"/>
        <v>1100</v>
      </c>
      <c r="D271">
        <f>VLOOKUP($C271,Profile!$B$5:$K$29,2,TRUE)</f>
        <v>0.69</v>
      </c>
      <c r="E271" s="37">
        <f>VLOOKUP($C271,Profile!$B$5:$K$29,7,TRUE)</f>
        <v>0.71499999999999997</v>
      </c>
      <c r="F271">
        <f t="shared" si="16"/>
        <v>2.083333333333335E-3</v>
      </c>
      <c r="G271">
        <v>8.0861267643023973E-4</v>
      </c>
      <c r="H271" s="37"/>
      <c r="I271">
        <v>0</v>
      </c>
      <c r="J271" s="38">
        <f>-VLOOKUP($C271,Profile!$B$5:$K$29,3,TRUE)*($G271+$I271)</f>
        <v>-5.660288735011678E-2</v>
      </c>
      <c r="K271" s="37"/>
      <c r="O271">
        <v>0</v>
      </c>
      <c r="P271" s="38">
        <f>VLOOKUP($C271,Profile!$B$5:$K$29,5,TRUE)*$O271</f>
        <v>0</v>
      </c>
      <c r="Q271">
        <f t="shared" si="14"/>
        <v>165.05494170206532</v>
      </c>
    </row>
    <row r="272" spans="1:17" x14ac:dyDescent="0.25">
      <c r="A272" s="1">
        <v>0.76736111111138405</v>
      </c>
      <c r="B272">
        <f t="shared" si="17"/>
        <v>1345</v>
      </c>
      <c r="C272">
        <f t="shared" si="15"/>
        <v>1105</v>
      </c>
      <c r="D272">
        <f>VLOOKUP($C272,Profile!$B$5:$K$29,2,TRUE)</f>
        <v>0.69</v>
      </c>
      <c r="E272" s="37">
        <f>VLOOKUP($C272,Profile!$B$5:$K$29,7,TRUE)</f>
        <v>0.71499999999999997</v>
      </c>
      <c r="F272">
        <f t="shared" si="16"/>
        <v>2.083333333333335E-3</v>
      </c>
      <c r="G272">
        <v>8.8883738018498697E-4</v>
      </c>
      <c r="H272" s="37"/>
      <c r="I272">
        <v>0</v>
      </c>
      <c r="J272" s="38">
        <f>-VLOOKUP($C272,Profile!$B$5:$K$29,3,TRUE)*($G272+$I272)</f>
        <v>-6.2218616612949085E-2</v>
      </c>
      <c r="K272" s="37"/>
      <c r="O272">
        <v>0</v>
      </c>
      <c r="P272" s="38">
        <f>VLOOKUP($C272,Profile!$B$5:$K$29,5,TRUE)*$O272</f>
        <v>0</v>
      </c>
      <c r="Q272">
        <f t="shared" si="14"/>
        <v>164.99272308545238</v>
      </c>
    </row>
    <row r="273" spans="1:17" x14ac:dyDescent="0.25">
      <c r="A273" s="1">
        <v>0.77083333333360404</v>
      </c>
      <c r="B273">
        <f t="shared" si="17"/>
        <v>1350</v>
      </c>
      <c r="C273">
        <f t="shared" si="15"/>
        <v>1110</v>
      </c>
      <c r="D273">
        <f>VLOOKUP($C273,Profile!$B$5:$K$29,2,TRUE)</f>
        <v>0.69</v>
      </c>
      <c r="E273" s="37">
        <f>VLOOKUP($C273,Profile!$B$5:$K$29,7,TRUE)</f>
        <v>0.71499999999999997</v>
      </c>
      <c r="F273">
        <f t="shared" si="16"/>
        <v>2.083333333333335E-3</v>
      </c>
      <c r="G273">
        <v>9.6646234495724806E-4</v>
      </c>
      <c r="H273" s="37"/>
      <c r="I273">
        <v>0</v>
      </c>
      <c r="J273" s="38">
        <f>-VLOOKUP($C273,Profile!$B$5:$K$29,3,TRUE)*($G273+$I273)</f>
        <v>-6.7652364147007371E-2</v>
      </c>
      <c r="K273" s="37"/>
      <c r="O273">
        <v>0</v>
      </c>
      <c r="P273" s="38">
        <f>VLOOKUP($C273,Profile!$B$5:$K$29,5,TRUE)*$O273</f>
        <v>0</v>
      </c>
      <c r="Q273">
        <f t="shared" si="14"/>
        <v>164.92507072130539</v>
      </c>
    </row>
    <row r="274" spans="1:17" x14ac:dyDescent="0.25">
      <c r="A274" s="1">
        <v>0.77430555555582403</v>
      </c>
      <c r="B274">
        <f t="shared" si="17"/>
        <v>1355</v>
      </c>
      <c r="C274">
        <f t="shared" si="15"/>
        <v>1115</v>
      </c>
      <c r="D274">
        <f>VLOOKUP($C274,Profile!$B$5:$K$29,2,TRUE)</f>
        <v>0.69</v>
      </c>
      <c r="E274" s="37">
        <f>VLOOKUP($C274,Profile!$B$5:$K$29,7,TRUE)</f>
        <v>0.71499999999999997</v>
      </c>
      <c r="F274">
        <f t="shared" si="16"/>
        <v>2.083333333333335E-3</v>
      </c>
      <c r="G274">
        <v>1.0413868386461771E-3</v>
      </c>
      <c r="H274" s="37"/>
      <c r="I274">
        <v>0</v>
      </c>
      <c r="J274" s="38">
        <f>-VLOOKUP($C274,Profile!$B$5:$K$29,3,TRUE)*($G274+$I274)</f>
        <v>-7.289707870523239E-2</v>
      </c>
      <c r="K274" s="37"/>
      <c r="O274">
        <v>0</v>
      </c>
      <c r="P274" s="38">
        <f>VLOOKUP($C274,Profile!$B$5:$K$29,5,TRUE)*$O274</f>
        <v>0</v>
      </c>
      <c r="Q274">
        <f t="shared" si="14"/>
        <v>164.85217364260015</v>
      </c>
    </row>
    <row r="275" spans="1:17" x14ac:dyDescent="0.25">
      <c r="A275" s="1">
        <v>0.77777777777804402</v>
      </c>
      <c r="B275">
        <f t="shared" si="17"/>
        <v>1360</v>
      </c>
      <c r="C275">
        <f t="shared" si="15"/>
        <v>1120</v>
      </c>
      <c r="D275">
        <f>VLOOKUP($C275,Profile!$B$5:$K$29,2,TRUE)</f>
        <v>0.69</v>
      </c>
      <c r="E275" s="37">
        <f>VLOOKUP($C275,Profile!$B$5:$K$29,7,TRUE)</f>
        <v>0.71499999999999997</v>
      </c>
      <c r="F275">
        <f t="shared" si="16"/>
        <v>2.083333333333335E-3</v>
      </c>
      <c r="G275">
        <v>1.1135314141331283E-3</v>
      </c>
      <c r="H275" s="37"/>
      <c r="I275">
        <v>0</v>
      </c>
      <c r="J275" s="38">
        <f>-VLOOKUP($C275,Profile!$B$5:$K$29,3,TRUE)*($G275+$I275)</f>
        <v>-7.7947198989318983E-2</v>
      </c>
      <c r="K275" s="37"/>
      <c r="O275">
        <v>0</v>
      </c>
      <c r="P275" s="38">
        <f>VLOOKUP($C275,Profile!$B$5:$K$29,5,TRUE)*$O275</f>
        <v>0</v>
      </c>
      <c r="Q275">
        <f t="shared" si="14"/>
        <v>164.77422644361084</v>
      </c>
    </row>
    <row r="276" spans="1:17" x14ac:dyDescent="0.25">
      <c r="A276" s="1">
        <v>0.78125000000026301</v>
      </c>
      <c r="B276">
        <f t="shared" si="17"/>
        <v>1365</v>
      </c>
      <c r="C276">
        <f t="shared" si="15"/>
        <v>1125</v>
      </c>
      <c r="D276">
        <f>VLOOKUP($C276,Profile!$B$5:$K$29,2,TRUE)</f>
        <v>0.69</v>
      </c>
      <c r="E276" s="37">
        <f>VLOOKUP($C276,Profile!$B$5:$K$29,7,TRUE)</f>
        <v>0.71499999999999997</v>
      </c>
      <c r="F276">
        <f t="shared" si="16"/>
        <v>2.083333333333335E-3</v>
      </c>
      <c r="G276">
        <v>1.1828359180703727E-3</v>
      </c>
      <c r="H276" s="37"/>
      <c r="I276">
        <v>0</v>
      </c>
      <c r="J276" s="38">
        <f>-VLOOKUP($C276,Profile!$B$5:$K$29,3,TRUE)*($G276+$I276)</f>
        <v>-8.2798514264926085E-2</v>
      </c>
      <c r="K276" s="37"/>
      <c r="O276">
        <v>0</v>
      </c>
      <c r="P276" s="38">
        <f>VLOOKUP($C276,Profile!$B$5:$K$29,5,TRUE)*$O276</f>
        <v>0</v>
      </c>
      <c r="Q276">
        <f t="shared" si="14"/>
        <v>164.69142792934591</v>
      </c>
    </row>
    <row r="277" spans="1:17" x14ac:dyDescent="0.25">
      <c r="A277" s="1">
        <v>0.784722222222483</v>
      </c>
      <c r="B277">
        <f t="shared" si="17"/>
        <v>1370</v>
      </c>
      <c r="C277">
        <f t="shared" si="15"/>
        <v>1130</v>
      </c>
      <c r="D277">
        <f>VLOOKUP($C277,Profile!$B$5:$K$29,2,TRUE)</f>
        <v>0.69</v>
      </c>
      <c r="E277" s="37">
        <f>VLOOKUP($C277,Profile!$B$5:$K$29,7,TRUE)</f>
        <v>0.71499999999999997</v>
      </c>
      <c r="F277">
        <f t="shared" si="16"/>
        <v>2.083333333333335E-3</v>
      </c>
      <c r="G277">
        <v>1.2492576469564124E-3</v>
      </c>
      <c r="H277" s="37"/>
      <c r="I277">
        <v>0</v>
      </c>
      <c r="J277" s="38">
        <f>-VLOOKUP($C277,Profile!$B$5:$K$29,3,TRUE)*($G277+$I277)</f>
        <v>-8.7448035286948875E-2</v>
      </c>
      <c r="K277" s="37"/>
      <c r="O277">
        <v>0</v>
      </c>
      <c r="P277" s="38">
        <f>VLOOKUP($C277,Profile!$B$5:$K$29,5,TRUE)*$O277</f>
        <v>0</v>
      </c>
      <c r="Q277">
        <f t="shared" si="14"/>
        <v>164.60397989405897</v>
      </c>
    </row>
    <row r="278" spans="1:17" x14ac:dyDescent="0.25">
      <c r="A278" s="1">
        <v>0.78819444444470299</v>
      </c>
      <c r="B278">
        <f t="shared" si="17"/>
        <v>1375</v>
      </c>
      <c r="C278">
        <f t="shared" si="15"/>
        <v>1135</v>
      </c>
      <c r="D278">
        <f>VLOOKUP($C278,Profile!$B$5:$K$29,2,TRUE)</f>
        <v>0.69</v>
      </c>
      <c r="E278" s="37">
        <f>VLOOKUP($C278,Profile!$B$5:$K$29,7,TRUE)</f>
        <v>0.71499999999999997</v>
      </c>
      <c r="F278">
        <f t="shared" si="16"/>
        <v>2.083333333333335E-3</v>
      </c>
      <c r="G278">
        <v>1.3127696408298183E-3</v>
      </c>
      <c r="H278" s="37"/>
      <c r="I278">
        <v>0</v>
      </c>
      <c r="J278" s="38">
        <f>-VLOOKUP($C278,Profile!$B$5:$K$29,3,TRUE)*($G278+$I278)</f>
        <v>-9.1893874858087282E-2</v>
      </c>
      <c r="K278" s="37"/>
      <c r="O278">
        <v>0</v>
      </c>
      <c r="P278" s="38">
        <f>VLOOKUP($C278,Profile!$B$5:$K$29,5,TRUE)*$O278</f>
        <v>0</v>
      </c>
      <c r="Q278">
        <f t="shared" si="14"/>
        <v>164.51208601920086</v>
      </c>
    </row>
    <row r="279" spans="1:17" x14ac:dyDescent="0.25">
      <c r="A279" s="1">
        <v>0.79166666666692298</v>
      </c>
      <c r="B279">
        <f t="shared" si="17"/>
        <v>1380</v>
      </c>
      <c r="C279">
        <f t="shared" si="15"/>
        <v>1140</v>
      </c>
      <c r="D279">
        <f>VLOOKUP($C279,Profile!$B$5:$K$29,2,TRUE)</f>
        <v>0.71</v>
      </c>
      <c r="E279" s="37">
        <f>VLOOKUP($C279,Profile!$B$5:$K$29,7,TRUE)</f>
        <v>0.71499999999999997</v>
      </c>
      <c r="F279">
        <f t="shared" si="16"/>
        <v>4.1666666666666702E-4</v>
      </c>
      <c r="G279">
        <v>1.3733591055029289E-3</v>
      </c>
      <c r="H279" s="37"/>
      <c r="I279">
        <v>0</v>
      </c>
      <c r="J279" s="38">
        <f>-VLOOKUP($C279,Profile!$B$5:$K$29,3,TRUE)*($G279+$I279)</f>
        <v>-9.6135137385205016E-2</v>
      </c>
      <c r="K279" s="37"/>
      <c r="O279">
        <v>0</v>
      </c>
      <c r="P279" s="38">
        <f>VLOOKUP($C279,Profile!$B$5:$K$29,5,TRUE)*$O279</f>
        <v>0</v>
      </c>
      <c r="Q279">
        <f t="shared" si="14"/>
        <v>164.41595088181566</v>
      </c>
    </row>
    <row r="280" spans="1:17" x14ac:dyDescent="0.25">
      <c r="A280" s="1">
        <v>0.79513888888914297</v>
      </c>
      <c r="B280">
        <f t="shared" si="17"/>
        <v>1385</v>
      </c>
      <c r="C280">
        <f t="shared" si="15"/>
        <v>1145</v>
      </c>
      <c r="D280">
        <f>VLOOKUP($C280,Profile!$B$5:$K$29,2,TRUE)</f>
        <v>0.71</v>
      </c>
      <c r="E280" s="37">
        <f>VLOOKUP($C280,Profile!$B$5:$K$29,7,TRUE)</f>
        <v>0.71499999999999997</v>
      </c>
      <c r="F280">
        <f t="shared" si="16"/>
        <v>4.1666666666666702E-4</v>
      </c>
      <c r="G280">
        <v>1.4226927621853699E-3</v>
      </c>
      <c r="H280" s="37"/>
      <c r="I280">
        <v>0</v>
      </c>
      <c r="J280" s="38">
        <f>-VLOOKUP($C280,Profile!$B$5:$K$29,3,TRUE)*($G280+$I280)</f>
        <v>-9.9588493352975885E-2</v>
      </c>
      <c r="K280" s="37"/>
      <c r="O280">
        <v>0</v>
      </c>
      <c r="P280" s="38">
        <f>VLOOKUP($C280,Profile!$B$5:$K$29,5,TRUE)*$O280</f>
        <v>0</v>
      </c>
      <c r="Q280">
        <f t="shared" si="14"/>
        <v>164.31636238846269</v>
      </c>
    </row>
    <row r="281" spans="1:17" x14ac:dyDescent="0.25">
      <c r="A281" s="1">
        <v>0.79861111111136296</v>
      </c>
      <c r="B281">
        <f t="shared" si="17"/>
        <v>1390</v>
      </c>
      <c r="C281">
        <f t="shared" si="15"/>
        <v>1150</v>
      </c>
      <c r="D281">
        <f>VLOOKUP($C281,Profile!$B$5:$K$29,2,TRUE)</f>
        <v>0.71</v>
      </c>
      <c r="E281" s="37">
        <f>VLOOKUP($C281,Profile!$B$5:$K$29,7,TRUE)</f>
        <v>0.71499999999999997</v>
      </c>
      <c r="F281">
        <f t="shared" si="16"/>
        <v>4.1666666666666702E-4</v>
      </c>
      <c r="G281">
        <v>1.4617765970812867E-3</v>
      </c>
      <c r="H281" s="37"/>
      <c r="I281">
        <v>0</v>
      </c>
      <c r="J281" s="38">
        <f>-VLOOKUP($C281,Profile!$B$5:$K$29,3,TRUE)*($G281+$I281)</f>
        <v>-0.10232436179569007</v>
      </c>
      <c r="K281" s="37"/>
      <c r="O281">
        <v>0</v>
      </c>
      <c r="P281" s="38">
        <f>VLOOKUP($C281,Profile!$B$5:$K$29,5,TRUE)*$O281</f>
        <v>0</v>
      </c>
      <c r="Q281">
        <f t="shared" si="14"/>
        <v>164.214038026667</v>
      </c>
    </row>
    <row r="282" spans="1:17" x14ac:dyDescent="0.25">
      <c r="A282" s="1">
        <v>0.80208333333358295</v>
      </c>
      <c r="B282">
        <f t="shared" si="17"/>
        <v>1395</v>
      </c>
      <c r="C282">
        <f t="shared" si="15"/>
        <v>1155</v>
      </c>
      <c r="D282">
        <f>VLOOKUP($C282,Profile!$B$5:$K$29,2,TRUE)</f>
        <v>0.71</v>
      </c>
      <c r="E282" s="37">
        <f>VLOOKUP($C282,Profile!$B$5:$K$29,7,TRUE)</f>
        <v>0.71499999999999997</v>
      </c>
      <c r="F282">
        <f t="shared" si="16"/>
        <v>4.1666666666666702E-4</v>
      </c>
      <c r="G282">
        <v>1.4915442365210411E-3</v>
      </c>
      <c r="H282" s="37"/>
      <c r="I282">
        <v>0</v>
      </c>
      <c r="J282" s="38">
        <f>-VLOOKUP($C282,Profile!$B$5:$K$29,3,TRUE)*($G282+$I282)</f>
        <v>-0.10440809655647287</v>
      </c>
      <c r="K282" s="37"/>
      <c r="O282">
        <v>0</v>
      </c>
      <c r="P282" s="38">
        <f>VLOOKUP($C282,Profile!$B$5:$K$29,5,TRUE)*$O282</f>
        <v>0</v>
      </c>
      <c r="Q282">
        <f t="shared" si="14"/>
        <v>164.10962993011051</v>
      </c>
    </row>
    <row r="283" spans="1:17" x14ac:dyDescent="0.25">
      <c r="A283" s="1">
        <v>0.80555555555580305</v>
      </c>
      <c r="B283">
        <f t="shared" si="17"/>
        <v>1400</v>
      </c>
      <c r="C283">
        <f t="shared" si="15"/>
        <v>1160</v>
      </c>
      <c r="D283">
        <f>VLOOKUP($C283,Profile!$B$5:$K$29,2,TRUE)</f>
        <v>0.71</v>
      </c>
      <c r="E283" s="37">
        <f>VLOOKUP($C283,Profile!$B$5:$K$29,7,TRUE)</f>
        <v>0.71499999999999997</v>
      </c>
      <c r="F283">
        <f t="shared" si="16"/>
        <v>4.1666666666666702E-4</v>
      </c>
      <c r="G283">
        <v>1.5128616051599995E-3</v>
      </c>
      <c r="H283" s="37"/>
      <c r="I283">
        <v>0</v>
      </c>
      <c r="J283" s="38">
        <f>-VLOOKUP($C283,Profile!$B$5:$K$29,3,TRUE)*($G283+$I283)</f>
        <v>-0.10590031236119997</v>
      </c>
      <c r="K283" s="37"/>
      <c r="O283">
        <v>0</v>
      </c>
      <c r="P283" s="38">
        <f>VLOOKUP($C283,Profile!$B$5:$K$29,5,TRUE)*$O283</f>
        <v>0</v>
      </c>
      <c r="Q283">
        <f t="shared" si="14"/>
        <v>164.00372961774931</v>
      </c>
    </row>
    <row r="284" spans="1:17" x14ac:dyDescent="0.25">
      <c r="A284" s="1">
        <v>0.80902777777802304</v>
      </c>
      <c r="B284">
        <f t="shared" si="17"/>
        <v>1405</v>
      </c>
      <c r="C284">
        <f t="shared" si="15"/>
        <v>1165</v>
      </c>
      <c r="D284">
        <f>VLOOKUP($C284,Profile!$B$5:$K$29,2,TRUE)</f>
        <v>0.71</v>
      </c>
      <c r="E284" s="37">
        <f>VLOOKUP($C284,Profile!$B$5:$K$29,7,TRUE)</f>
        <v>0.71499999999999997</v>
      </c>
      <c r="F284">
        <f t="shared" si="16"/>
        <v>4.1666666666666702E-4</v>
      </c>
      <c r="G284">
        <v>1.5265313042687248E-3</v>
      </c>
      <c r="H284" s="37"/>
      <c r="I284">
        <v>0</v>
      </c>
      <c r="J284" s="38">
        <f>-VLOOKUP($C284,Profile!$B$5:$K$29,3,TRUE)*($G284+$I284)</f>
        <v>-0.10685719129881074</v>
      </c>
      <c r="K284" s="37"/>
      <c r="O284">
        <v>0</v>
      </c>
      <c r="P284" s="38">
        <f>VLOOKUP($C284,Profile!$B$5:$K$29,5,TRUE)*$O284</f>
        <v>0</v>
      </c>
      <c r="Q284">
        <f t="shared" si="14"/>
        <v>163.8968724264505</v>
      </c>
    </row>
    <row r="285" spans="1:17" x14ac:dyDescent="0.25">
      <c r="A285" s="1">
        <v>0.81250000000024203</v>
      </c>
      <c r="B285">
        <f t="shared" si="17"/>
        <v>1410</v>
      </c>
      <c r="C285">
        <f t="shared" si="15"/>
        <v>1170</v>
      </c>
      <c r="D285">
        <f>VLOOKUP($C285,Profile!$B$5:$K$29,2,TRUE)</f>
        <v>0.71</v>
      </c>
      <c r="E285" s="37">
        <f>VLOOKUP($C285,Profile!$B$5:$K$29,7,TRUE)</f>
        <v>0.71499999999999997</v>
      </c>
      <c r="F285">
        <f t="shared" si="16"/>
        <v>4.1666666666666702E-4</v>
      </c>
      <c r="G285">
        <v>1.5332967261543532E-3</v>
      </c>
      <c r="H285" s="37"/>
      <c r="I285">
        <v>0</v>
      </c>
      <c r="J285" s="38">
        <f>-VLOOKUP($C285,Profile!$B$5:$K$29,3,TRUE)*($G285+$I285)</f>
        <v>-0.10733077083080472</v>
      </c>
      <c r="K285" s="37"/>
      <c r="O285">
        <v>0</v>
      </c>
      <c r="P285" s="38">
        <f>VLOOKUP($C285,Profile!$B$5:$K$29,5,TRUE)*$O285</f>
        <v>0</v>
      </c>
      <c r="Q285">
        <f t="shared" si="14"/>
        <v>163.7895416556197</v>
      </c>
    </row>
    <row r="286" spans="1:17" x14ac:dyDescent="0.25">
      <c r="A286" s="1">
        <v>0.81597222222246202</v>
      </c>
      <c r="B286">
        <f t="shared" si="17"/>
        <v>1415</v>
      </c>
      <c r="C286">
        <f t="shared" si="15"/>
        <v>1175</v>
      </c>
      <c r="D286">
        <f>VLOOKUP($C286,Profile!$B$5:$K$29,2,TRUE)</f>
        <v>0.71</v>
      </c>
      <c r="E286" s="37">
        <f>VLOOKUP($C286,Profile!$B$5:$K$29,7,TRUE)</f>
        <v>0.71499999999999997</v>
      </c>
      <c r="F286">
        <f t="shared" si="16"/>
        <v>4.1666666666666702E-4</v>
      </c>
      <c r="G286">
        <v>1.5338459198653489E-3</v>
      </c>
      <c r="H286" s="37"/>
      <c r="I286">
        <v>0</v>
      </c>
      <c r="J286" s="38">
        <f>-VLOOKUP($C286,Profile!$B$5:$K$29,3,TRUE)*($G286+$I286)</f>
        <v>-0.10736921439057442</v>
      </c>
      <c r="K286" s="37"/>
      <c r="O286">
        <v>0</v>
      </c>
      <c r="P286" s="38">
        <f>VLOOKUP($C286,Profile!$B$5:$K$29,5,TRUE)*$O286</f>
        <v>0</v>
      </c>
      <c r="Q286">
        <f t="shared" si="14"/>
        <v>163.68217244122911</v>
      </c>
    </row>
    <row r="287" spans="1:17" x14ac:dyDescent="0.25">
      <c r="A287" s="1">
        <v>0.81944444444468201</v>
      </c>
      <c r="B287">
        <f t="shared" si="17"/>
        <v>1420</v>
      </c>
      <c r="C287">
        <f t="shared" si="15"/>
        <v>1180</v>
      </c>
      <c r="D287">
        <f>VLOOKUP($C287,Profile!$B$5:$K$29,2,TRUE)</f>
        <v>0.71</v>
      </c>
      <c r="E287" s="37">
        <f>VLOOKUP($C287,Profile!$B$5:$K$29,7,TRUE)</f>
        <v>0.71499999999999997</v>
      </c>
      <c r="F287">
        <f t="shared" si="16"/>
        <v>4.1666666666666702E-4</v>
      </c>
      <c r="G287">
        <v>1.5288152224920207E-3</v>
      </c>
      <c r="H287" s="37"/>
      <c r="I287">
        <v>0</v>
      </c>
      <c r="J287" s="38">
        <f>-VLOOKUP($C287,Profile!$B$5:$K$29,3,TRUE)*($G287+$I287)</f>
        <v>-0.10701706557444145</v>
      </c>
      <c r="K287" s="37"/>
      <c r="O287">
        <v>0</v>
      </c>
      <c r="P287" s="38">
        <f>VLOOKUP($C287,Profile!$B$5:$K$29,5,TRUE)*$O287</f>
        <v>0</v>
      </c>
      <c r="Q287">
        <f t="shared" si="14"/>
        <v>163.57515537565467</v>
      </c>
    </row>
    <row r="288" spans="1:17" x14ac:dyDescent="0.25">
      <c r="A288" s="1">
        <v>0.822916666666902</v>
      </c>
      <c r="B288">
        <f t="shared" si="17"/>
        <v>1425</v>
      </c>
      <c r="C288">
        <f t="shared" si="15"/>
        <v>1185</v>
      </c>
      <c r="D288">
        <f>VLOOKUP($C288,Profile!$B$5:$K$29,2,TRUE)</f>
        <v>0.71</v>
      </c>
      <c r="E288" s="37">
        <f>VLOOKUP($C288,Profile!$B$5:$K$29,7,TRUE)</f>
        <v>0.71499999999999997</v>
      </c>
      <c r="F288">
        <f t="shared" si="16"/>
        <v>4.1666666666666702E-4</v>
      </c>
      <c r="G288">
        <v>1.518792669580702E-3</v>
      </c>
      <c r="H288" s="37"/>
      <c r="I288">
        <v>0</v>
      </c>
      <c r="J288" s="38">
        <f>-VLOOKUP($C288,Profile!$B$5:$K$29,3,TRUE)*($G288+$I288)</f>
        <v>-0.10631548687064914</v>
      </c>
      <c r="K288" s="37"/>
      <c r="O288">
        <v>0</v>
      </c>
      <c r="P288" s="38">
        <f>VLOOKUP($C288,Profile!$B$5:$K$29,5,TRUE)*$O288</f>
        <v>0</v>
      </c>
      <c r="Q288">
        <f t="shared" si="14"/>
        <v>163.46883988878403</v>
      </c>
    </row>
    <row r="289" spans="1:17" x14ac:dyDescent="0.25">
      <c r="A289" s="1">
        <v>0.82638888888912199</v>
      </c>
      <c r="B289">
        <f t="shared" si="17"/>
        <v>1430</v>
      </c>
      <c r="C289">
        <f t="shared" si="15"/>
        <v>1190</v>
      </c>
      <c r="D289">
        <f>VLOOKUP($C289,Profile!$B$5:$K$29,2,TRUE)</f>
        <v>0.71</v>
      </c>
      <c r="E289" s="37">
        <f>VLOOKUP($C289,Profile!$B$5:$K$29,7,TRUE)</f>
        <v>0.71499999999999997</v>
      </c>
      <c r="F289">
        <f t="shared" si="16"/>
        <v>4.1666666666666702E-4</v>
      </c>
      <c r="G289">
        <v>1.5043211974278988E-3</v>
      </c>
      <c r="H289" s="37"/>
      <c r="I289">
        <v>0</v>
      </c>
      <c r="J289" s="38">
        <f>-VLOOKUP($C289,Profile!$B$5:$K$29,3,TRUE)*($G289+$I289)</f>
        <v>-0.10530248381995291</v>
      </c>
      <c r="K289" s="37"/>
      <c r="O289">
        <v>0</v>
      </c>
      <c r="P289" s="38">
        <f>VLOOKUP($C289,Profile!$B$5:$K$29,5,TRUE)*$O289</f>
        <v>0</v>
      </c>
      <c r="Q289">
        <f t="shared" si="14"/>
        <v>163.36353740496409</v>
      </c>
    </row>
    <row r="290" spans="1:17" x14ac:dyDescent="0.25">
      <c r="A290" s="1">
        <v>0.82986111111134198</v>
      </c>
      <c r="B290">
        <f t="shared" si="17"/>
        <v>1435</v>
      </c>
      <c r="C290">
        <f t="shared" si="15"/>
        <v>1195</v>
      </c>
      <c r="D290">
        <f>VLOOKUP($C290,Profile!$B$5:$K$29,2,TRUE)</f>
        <v>0.71</v>
      </c>
      <c r="E290" s="37">
        <f>VLOOKUP($C290,Profile!$B$5:$K$29,7,TRUE)</f>
        <v>0.71499999999999997</v>
      </c>
      <c r="F290">
        <f t="shared" si="16"/>
        <v>4.1666666666666702E-4</v>
      </c>
      <c r="G290">
        <v>1.4859016493097587E-3</v>
      </c>
      <c r="H290" s="37"/>
      <c r="I290">
        <v>0</v>
      </c>
      <c r="J290" s="38">
        <f>-VLOOKUP($C290,Profile!$B$5:$K$29,3,TRUE)*($G290+$I290)</f>
        <v>-0.10401311545168311</v>
      </c>
      <c r="K290" s="37"/>
      <c r="O290">
        <v>0</v>
      </c>
      <c r="P290" s="38">
        <f>VLOOKUP($C290,Profile!$B$5:$K$29,5,TRUE)*$O290</f>
        <v>0</v>
      </c>
      <c r="Q290">
        <f t="shared" si="14"/>
        <v>163.2595242895124</v>
      </c>
    </row>
    <row r="291" spans="1:17" x14ac:dyDescent="0.25">
      <c r="A291" s="1">
        <v>0.83333333333356197</v>
      </c>
      <c r="B291">
        <f t="shared" si="17"/>
        <v>1440</v>
      </c>
      <c r="C291">
        <f t="shared" si="15"/>
        <v>1200</v>
      </c>
      <c r="D291">
        <f>VLOOKUP($C291,Profile!$B$5:$K$29,2,TRUE)</f>
        <v>0.74</v>
      </c>
      <c r="E291" s="37">
        <f>VLOOKUP($C291,Profile!$B$5:$K$29,7,TRUE)</f>
        <v>0.71499999999999997</v>
      </c>
      <c r="F291">
        <f t="shared" si="16"/>
        <v>-2.083333333333335E-3</v>
      </c>
      <c r="G291">
        <v>1.4639955970297542E-3</v>
      </c>
      <c r="H291" s="37">
        <v>8</v>
      </c>
      <c r="I291">
        <v>0</v>
      </c>
      <c r="J291" s="38">
        <f>-VLOOKUP($C291,Profile!$B$5:$K$29,3,TRUE)*($G291+$I291)</f>
        <v>-0.1024796917920828</v>
      </c>
      <c r="K291" s="37">
        <v>45</v>
      </c>
      <c r="O291">
        <v>0</v>
      </c>
      <c r="P291" s="38">
        <f>VLOOKUP($C291,Profile!$B$5:$K$29,5,TRUE)*$O291</f>
        <v>0</v>
      </c>
      <c r="Q291">
        <f t="shared" si="14"/>
        <v>163.15704459772033</v>
      </c>
    </row>
    <row r="292" spans="1:17" x14ac:dyDescent="0.25">
      <c r="A292" s="1">
        <v>0.83680555555578195</v>
      </c>
      <c r="B292">
        <f t="shared" si="17"/>
        <v>1445</v>
      </c>
      <c r="C292">
        <f t="shared" si="15"/>
        <v>1205</v>
      </c>
      <c r="D292">
        <f>VLOOKUP($C292,Profile!$B$5:$K$29,2,TRUE)</f>
        <v>0.74</v>
      </c>
      <c r="E292" s="37">
        <f>VLOOKUP($C292,Profile!$B$5:$K$29,7,TRUE)</f>
        <v>0.71499999999999997</v>
      </c>
      <c r="F292">
        <f t="shared" si="16"/>
        <v>-2.083333333333335E-3</v>
      </c>
      <c r="G292">
        <v>1.4265281995914834E-3</v>
      </c>
      <c r="H292" s="37"/>
      <c r="I292">
        <v>3.9999324607892996E-2</v>
      </c>
      <c r="J292" s="38">
        <f>-VLOOKUP($C292,Profile!$B$5:$K$29,3,TRUE)*($G292+$I292)</f>
        <v>-2.8998096965239135</v>
      </c>
      <c r="K292" s="37"/>
      <c r="O292">
        <v>0.34619881431997945</v>
      </c>
      <c r="P292" s="38">
        <f>VLOOKUP($C292,Profile!$B$5:$K$29,5,TRUE)*$O292</f>
        <v>4.0389861670664269</v>
      </c>
      <c r="Q292">
        <f t="shared" si="14"/>
        <v>164.29622106826287</v>
      </c>
    </row>
    <row r="293" spans="1:17" x14ac:dyDescent="0.25">
      <c r="A293" s="1">
        <v>0.84027777777800094</v>
      </c>
      <c r="B293">
        <f t="shared" si="17"/>
        <v>1450</v>
      </c>
      <c r="C293">
        <f t="shared" si="15"/>
        <v>1210</v>
      </c>
      <c r="D293">
        <f>VLOOKUP($C293,Profile!$B$5:$K$29,2,TRUE)</f>
        <v>0.74</v>
      </c>
      <c r="E293" s="37">
        <f>VLOOKUP($C293,Profile!$B$5:$K$29,7,TRUE)</f>
        <v>0.71499999999999997</v>
      </c>
      <c r="F293">
        <f t="shared" si="16"/>
        <v>-2.083333333333335E-3</v>
      </c>
      <c r="G293">
        <v>1.3753823300183675E-3</v>
      </c>
      <c r="H293" s="37"/>
      <c r="I293">
        <v>7.5224040842892137E-2</v>
      </c>
      <c r="J293" s="38">
        <f>-VLOOKUP($C293,Profile!$B$5:$K$29,3,TRUE)*($G293+$I293)</f>
        <v>-5.3619596221037353</v>
      </c>
      <c r="K293" s="37"/>
      <c r="O293">
        <v>0.64104434639969643</v>
      </c>
      <c r="P293" s="38">
        <f>VLOOKUP($C293,Profile!$B$5:$K$29,5,TRUE)*$O293</f>
        <v>7.4788507079964583</v>
      </c>
      <c r="Q293">
        <f t="shared" ref="Q293:Q356" si="18">+Q292+$J293+$P293</f>
        <v>166.41311215415558</v>
      </c>
    </row>
    <row r="294" spans="1:17" x14ac:dyDescent="0.25">
      <c r="A294" s="1">
        <v>0.84375000000022105</v>
      </c>
      <c r="B294">
        <f t="shared" si="17"/>
        <v>1455</v>
      </c>
      <c r="C294">
        <f t="shared" si="15"/>
        <v>1215</v>
      </c>
      <c r="D294">
        <f>VLOOKUP($C294,Profile!$B$5:$K$29,2,TRUE)</f>
        <v>0.74</v>
      </c>
      <c r="E294" s="37">
        <f>VLOOKUP($C294,Profile!$B$5:$K$29,7,TRUE)</f>
        <v>0.71499999999999997</v>
      </c>
      <c r="F294">
        <f t="shared" si="16"/>
        <v>-2.083333333333335E-3</v>
      </c>
      <c r="G294">
        <v>1.3122853294996646E-3</v>
      </c>
      <c r="H294" s="37"/>
      <c r="I294">
        <v>0.10607005720986529</v>
      </c>
      <c r="J294" s="38">
        <f>-VLOOKUP($C294,Profile!$B$5:$K$29,3,TRUE)*($G294+$I294)</f>
        <v>-7.5167639777555459</v>
      </c>
      <c r="K294" s="37"/>
      <c r="O294">
        <v>0.88982897693371832</v>
      </c>
      <c r="P294" s="38">
        <f>VLOOKUP($C294,Profile!$B$5:$K$29,5,TRUE)*$O294</f>
        <v>10.381338064226712</v>
      </c>
      <c r="Q294">
        <f t="shared" si="18"/>
        <v>169.27768624062676</v>
      </c>
    </row>
    <row r="295" spans="1:17" x14ac:dyDescent="0.25">
      <c r="A295" s="1">
        <v>0.84722222222244103</v>
      </c>
      <c r="B295">
        <f t="shared" si="17"/>
        <v>1460</v>
      </c>
      <c r="C295">
        <f t="shared" si="15"/>
        <v>1220</v>
      </c>
      <c r="D295">
        <f>VLOOKUP($C295,Profile!$B$5:$K$29,2,TRUE)</f>
        <v>0.74</v>
      </c>
      <c r="E295" s="37">
        <f>VLOOKUP($C295,Profile!$B$5:$K$29,7,TRUE)</f>
        <v>0.71499999999999997</v>
      </c>
      <c r="F295">
        <f t="shared" si="16"/>
        <v>-2.083333333333335E-3</v>
      </c>
      <c r="G295">
        <v>1.2388198947664273E-3</v>
      </c>
      <c r="H295" s="37"/>
      <c r="I295">
        <v>0.1329054328059453</v>
      </c>
      <c r="J295" s="38">
        <f>-VLOOKUP($C295,Profile!$B$5:$K$29,3,TRUE)*($G295+$I295)</f>
        <v>-9.3900976890498207</v>
      </c>
      <c r="K295" s="37"/>
      <c r="O295">
        <v>1.097382353874818</v>
      </c>
      <c r="P295" s="38">
        <f>VLOOKUP($C295,Profile!$B$5:$K$29,5,TRUE)*$O295</f>
        <v>12.802794128539542</v>
      </c>
      <c r="Q295">
        <f t="shared" si="18"/>
        <v>172.6903826801165</v>
      </c>
    </row>
    <row r="296" spans="1:17" x14ac:dyDescent="0.25">
      <c r="A296" s="1">
        <v>0.85069444444466102</v>
      </c>
      <c r="B296">
        <f t="shared" si="17"/>
        <v>1465</v>
      </c>
      <c r="C296">
        <f t="shared" si="15"/>
        <v>1225</v>
      </c>
      <c r="D296">
        <f>VLOOKUP($C296,Profile!$B$5:$K$29,2,TRUE)</f>
        <v>0.74</v>
      </c>
      <c r="E296" s="37">
        <f>VLOOKUP($C296,Profile!$B$5:$K$29,7,TRUE)</f>
        <v>0.71499999999999997</v>
      </c>
      <c r="F296">
        <f t="shared" si="16"/>
        <v>-2.083333333333335E-3</v>
      </c>
      <c r="G296">
        <v>1.156434272674961E-3</v>
      </c>
      <c r="H296" s="37"/>
      <c r="I296">
        <v>0.15607215699552968</v>
      </c>
      <c r="J296" s="38">
        <f>-VLOOKUP($C296,Profile!$B$5:$K$29,3,TRUE)*($G296+$I296)</f>
        <v>-11.006001388774324</v>
      </c>
      <c r="K296" s="37"/>
      <c r="O296">
        <v>1.2681081486460342</v>
      </c>
      <c r="P296" s="38">
        <f>VLOOKUP($C296,Profile!$B$5:$K$29,5,TRUE)*$O296</f>
        <v>14.794595067537065</v>
      </c>
      <c r="Q296">
        <f t="shared" si="18"/>
        <v>176.47897635887924</v>
      </c>
    </row>
    <row r="297" spans="1:17" x14ac:dyDescent="0.25">
      <c r="A297" s="1">
        <v>0.85416666666688101</v>
      </c>
      <c r="B297">
        <f t="shared" si="17"/>
        <v>1470</v>
      </c>
      <c r="C297">
        <f t="shared" si="15"/>
        <v>1230</v>
      </c>
      <c r="D297">
        <f>VLOOKUP($C297,Profile!$B$5:$K$29,2,TRUE)</f>
        <v>0.74</v>
      </c>
      <c r="E297" s="37">
        <f>VLOOKUP($C297,Profile!$B$5:$K$29,7,TRUE)</f>
        <v>0.71499999999999997</v>
      </c>
      <c r="F297">
        <f t="shared" si="16"/>
        <v>-2.083333333333335E-3</v>
      </c>
      <c r="G297">
        <v>1.066451803401114E-3</v>
      </c>
      <c r="H297" s="37"/>
      <c r="I297">
        <v>0.17588782235261013</v>
      </c>
      <c r="J297" s="38">
        <f>-VLOOKUP($C297,Profile!$B$5:$K$29,3,TRUE)*($G297+$I297)</f>
        <v>-12.386799190920788</v>
      </c>
      <c r="K297" s="37"/>
      <c r="O297">
        <v>1.4060180722046745</v>
      </c>
      <c r="P297" s="38">
        <f>VLOOKUP($C297,Profile!$B$5:$K$29,5,TRUE)*$O297</f>
        <v>16.403544175721201</v>
      </c>
      <c r="Q297">
        <f t="shared" si="18"/>
        <v>180.49572134367966</v>
      </c>
    </row>
    <row r="298" spans="1:17" x14ac:dyDescent="0.25">
      <c r="A298" s="1">
        <v>0.857638888889101</v>
      </c>
      <c r="B298">
        <f t="shared" si="17"/>
        <v>1475</v>
      </c>
      <c r="C298">
        <f t="shared" si="15"/>
        <v>1235</v>
      </c>
      <c r="D298">
        <f>VLOOKUP($C298,Profile!$B$5:$K$29,2,TRUE)</f>
        <v>0.74</v>
      </c>
      <c r="E298" s="37">
        <f>VLOOKUP($C298,Profile!$B$5:$K$29,7,TRUE)</f>
        <v>0.71499999999999997</v>
      </c>
      <c r="F298">
        <f t="shared" si="16"/>
        <v>-2.083333333333335E-3</v>
      </c>
      <c r="G298">
        <v>9.7007985128238475E-4</v>
      </c>
      <c r="H298" s="37"/>
      <c r="I298">
        <v>0.19264719698824331</v>
      </c>
      <c r="J298" s="38">
        <f>-VLOOKUP($C298,Profile!$B$5:$K$29,3,TRUE)*($G298+$I298)</f>
        <v>-13.5532093787668</v>
      </c>
      <c r="K298" s="37"/>
      <c r="O298">
        <v>1.5147633461971659</v>
      </c>
      <c r="P298" s="38">
        <f>VLOOKUP($C298,Profile!$B$5:$K$29,5,TRUE)*$O298</f>
        <v>17.672239038966936</v>
      </c>
      <c r="Q298">
        <f t="shared" si="18"/>
        <v>184.6147510038798</v>
      </c>
    </row>
    <row r="299" spans="1:17" x14ac:dyDescent="0.25">
      <c r="A299" s="1">
        <v>0.86111111111132099</v>
      </c>
      <c r="B299">
        <f t="shared" si="17"/>
        <v>1480</v>
      </c>
      <c r="C299">
        <f t="shared" si="15"/>
        <v>1240</v>
      </c>
      <c r="D299">
        <f>VLOOKUP($C299,Profile!$B$5:$K$29,2,TRUE)</f>
        <v>0.74</v>
      </c>
      <c r="E299" s="37">
        <f>VLOOKUP($C299,Profile!$B$5:$K$29,7,TRUE)</f>
        <v>0.71499999999999997</v>
      </c>
      <c r="F299">
        <f t="shared" si="16"/>
        <v>-2.083333333333335E-3</v>
      </c>
      <c r="G299">
        <v>8.6841816010927494E-4</v>
      </c>
      <c r="H299" s="37"/>
      <c r="I299">
        <v>0.2066237020420196</v>
      </c>
      <c r="J299" s="38">
        <f>-VLOOKUP($C299,Profile!$B$5:$K$29,3,TRUE)*($G299+$I299)</f>
        <v>-14.52444841414902</v>
      </c>
      <c r="K299" s="37"/>
      <c r="O299">
        <v>1.5976638109971917</v>
      </c>
      <c r="P299" s="38">
        <f>VLOOKUP($C299,Profile!$B$5:$K$29,5,TRUE)*$O299</f>
        <v>18.639411128300569</v>
      </c>
      <c r="Q299">
        <f t="shared" si="18"/>
        <v>188.72971371803135</v>
      </c>
    </row>
    <row r="300" spans="1:17" x14ac:dyDescent="0.25">
      <c r="A300" s="1">
        <v>0.86458333333354098</v>
      </c>
      <c r="B300">
        <f t="shared" si="17"/>
        <v>1485</v>
      </c>
      <c r="C300">
        <f t="shared" si="15"/>
        <v>1245</v>
      </c>
      <c r="D300">
        <f>VLOOKUP($C300,Profile!$B$5:$K$29,2,TRUE)</f>
        <v>0.74</v>
      </c>
      <c r="E300" s="37">
        <f>VLOOKUP($C300,Profile!$B$5:$K$29,7,TRUE)</f>
        <v>0.71499999999999997</v>
      </c>
      <c r="F300">
        <f t="shared" si="16"/>
        <v>-2.083333333333335E-3</v>
      </c>
      <c r="G300">
        <v>7.6246666755551689E-4</v>
      </c>
      <c r="H300" s="37"/>
      <c r="I300">
        <v>0.21807079979572436</v>
      </c>
      <c r="J300" s="38">
        <f>-VLOOKUP($C300,Profile!$B$5:$K$29,3,TRUE)*($G300+$I300)</f>
        <v>-15.318328652429592</v>
      </c>
      <c r="K300" s="37"/>
      <c r="O300">
        <v>1.6577348398750134</v>
      </c>
      <c r="P300" s="38">
        <f>VLOOKUP($C300,Profile!$B$5:$K$29,5,TRUE)*$O300</f>
        <v>19.34023979854182</v>
      </c>
      <c r="Q300">
        <f t="shared" si="18"/>
        <v>192.75162486414359</v>
      </c>
    </row>
    <row r="301" spans="1:17" x14ac:dyDescent="0.25">
      <c r="A301" s="1">
        <v>0.86805555555575997</v>
      </c>
      <c r="B301">
        <f t="shared" si="17"/>
        <v>1490</v>
      </c>
      <c r="C301">
        <f t="shared" si="15"/>
        <v>1250</v>
      </c>
      <c r="D301">
        <f>VLOOKUP($C301,Profile!$B$5:$K$29,2,TRUE)</f>
        <v>0.74</v>
      </c>
      <c r="E301" s="37">
        <f>VLOOKUP($C301,Profile!$B$5:$K$29,7,TRUE)</f>
        <v>0.71499999999999997</v>
      </c>
      <c r="F301">
        <f t="shared" si="16"/>
        <v>-2.083333333333335E-3</v>
      </c>
      <c r="G301">
        <v>6.5313281144206573E-4</v>
      </c>
      <c r="H301" s="37"/>
      <c r="I301">
        <v>0.22722329756404505</v>
      </c>
      <c r="J301" s="38">
        <f>-VLOOKUP($C301,Profile!$B$5:$K$29,3,TRUE)*($G301+$I301)</f>
        <v>-15.951350126284098</v>
      </c>
      <c r="K301" s="37"/>
      <c r="O301">
        <v>1.6977122168439758</v>
      </c>
      <c r="P301" s="38">
        <f>VLOOKUP($C301,Profile!$B$5:$K$29,5,TRUE)*$O301</f>
        <v>19.806642529846382</v>
      </c>
      <c r="Q301">
        <f t="shared" si="18"/>
        <v>196.60691726770588</v>
      </c>
    </row>
    <row r="302" spans="1:17" x14ac:dyDescent="0.25">
      <c r="A302" s="1">
        <v>0.87152777777797996</v>
      </c>
      <c r="B302">
        <f t="shared" si="17"/>
        <v>1495</v>
      </c>
      <c r="C302">
        <f t="shared" si="15"/>
        <v>1255</v>
      </c>
      <c r="D302">
        <f>VLOOKUP($C302,Profile!$B$5:$K$29,2,TRUE)</f>
        <v>0.74</v>
      </c>
      <c r="E302" s="37">
        <f>VLOOKUP($C302,Profile!$B$5:$K$29,7,TRUE)</f>
        <v>0.71499999999999997</v>
      </c>
      <c r="F302">
        <f t="shared" si="16"/>
        <v>-2.083333333333335E-3</v>
      </c>
      <c r="G302">
        <v>5.412383586457756E-4</v>
      </c>
      <c r="H302" s="37"/>
      <c r="I302">
        <v>0.23429857223024236</v>
      </c>
      <c r="J302" s="38">
        <f>-VLOOKUP($C302,Profile!$B$5:$K$29,3,TRUE)*($G302+$I302)</f>
        <v>-16.43878674122217</v>
      </c>
      <c r="K302" s="37"/>
      <c r="O302">
        <v>1.7200751248155732</v>
      </c>
      <c r="P302" s="38">
        <f>VLOOKUP($C302,Profile!$B$5:$K$29,5,TRUE)*$O302</f>
        <v>20.067543122848353</v>
      </c>
      <c r="Q302">
        <f t="shared" si="18"/>
        <v>200.23567364933206</v>
      </c>
    </row>
    <row r="303" spans="1:17" x14ac:dyDescent="0.25">
      <c r="A303" s="1">
        <v>0.87500000000019995</v>
      </c>
      <c r="B303">
        <f t="shared" si="17"/>
        <v>1500</v>
      </c>
      <c r="C303">
        <f t="shared" si="15"/>
        <v>1260</v>
      </c>
      <c r="D303">
        <f>VLOOKUP($C303,Profile!$B$5:$K$29,2,TRUE)</f>
        <v>0.74</v>
      </c>
      <c r="E303" s="37">
        <f>VLOOKUP($C303,Profile!$B$5:$K$29,7,TRUE)</f>
        <v>0.71499999999999997</v>
      </c>
      <c r="F303">
        <f t="shared" si="16"/>
        <v>-2.083333333333335E-3</v>
      </c>
      <c r="G303">
        <v>4.2752578568448383E-4</v>
      </c>
      <c r="H303" s="37"/>
      <c r="I303">
        <v>0.23949772002330882</v>
      </c>
      <c r="J303" s="38">
        <f>-VLOOKUP($C303,Profile!$B$5:$K$29,3,TRUE)*($G303+$I303)</f>
        <v>-16.79476720662953</v>
      </c>
      <c r="K303" s="37"/>
      <c r="O303">
        <v>1.7270673805152825</v>
      </c>
      <c r="P303" s="38">
        <f>VLOOKUP($C303,Profile!$B$5:$K$29,5,TRUE)*$O303</f>
        <v>20.149119439344961</v>
      </c>
      <c r="Q303">
        <f t="shared" si="18"/>
        <v>203.59002588204748</v>
      </c>
    </row>
    <row r="304" spans="1:17" x14ac:dyDescent="0.25">
      <c r="A304" s="1">
        <v>0.87847222222242005</v>
      </c>
      <c r="B304">
        <f t="shared" si="17"/>
        <v>1505</v>
      </c>
      <c r="C304">
        <f t="shared" si="15"/>
        <v>1265</v>
      </c>
      <c r="D304">
        <f>VLOOKUP($C304,Profile!$B$5:$K$29,2,TRUE)</f>
        <v>0.74</v>
      </c>
      <c r="E304" s="37">
        <f>VLOOKUP($C304,Profile!$B$5:$K$29,7,TRUE)</f>
        <v>0.71499999999999997</v>
      </c>
      <c r="F304">
        <f t="shared" si="16"/>
        <v>-2.083333333333335E-3</v>
      </c>
      <c r="G304">
        <v>3.1356220844844934E-4</v>
      </c>
      <c r="H304" s="37"/>
      <c r="I304">
        <v>0.24300663587645643</v>
      </c>
      <c r="J304" s="38">
        <f>-VLOOKUP($C304,Profile!$B$5:$K$29,3,TRUE)*($G304+$I304)</f>
        <v>-17.03241386594334</v>
      </c>
      <c r="K304" s="37"/>
      <c r="O304">
        <v>1.7207170431191858</v>
      </c>
      <c r="P304" s="38">
        <f>VLOOKUP($C304,Profile!$B$5:$K$29,5,TRUE)*$O304</f>
        <v>20.075032169723833</v>
      </c>
      <c r="Q304">
        <f t="shared" si="18"/>
        <v>206.63264418582798</v>
      </c>
    </row>
    <row r="305" spans="1:17" x14ac:dyDescent="0.25">
      <c r="A305" s="1">
        <v>0.88194444444464004</v>
      </c>
      <c r="B305">
        <f t="shared" si="17"/>
        <v>1510</v>
      </c>
      <c r="C305">
        <f t="shared" si="15"/>
        <v>1270</v>
      </c>
      <c r="D305">
        <f>VLOOKUP($C305,Profile!$B$5:$K$29,2,TRUE)</f>
        <v>0.74</v>
      </c>
      <c r="E305" s="37">
        <f>VLOOKUP($C305,Profile!$B$5:$K$29,7,TRUE)</f>
        <v>0.71499999999999997</v>
      </c>
      <c r="F305">
        <f t="shared" si="16"/>
        <v>-2.083333333333335E-3</v>
      </c>
      <c r="G305">
        <v>1.9989909636137932E-4</v>
      </c>
      <c r="H305" s="37"/>
      <c r="I305">
        <v>0.24499702646403082</v>
      </c>
      <c r="J305" s="38">
        <f>-VLOOKUP($C305,Profile!$B$5:$K$29,3,TRUE)*($G305+$I305)</f>
        <v>-17.163784789227453</v>
      </c>
      <c r="K305" s="37"/>
      <c r="O305">
        <v>1.7028545147208218</v>
      </c>
      <c r="P305" s="38">
        <f>VLOOKUP($C305,Profile!$B$5:$K$29,5,TRUE)*$O305</f>
        <v>19.866636005076252</v>
      </c>
      <c r="Q305">
        <f t="shared" si="18"/>
        <v>209.33549540167678</v>
      </c>
    </row>
    <row r="306" spans="1:17" x14ac:dyDescent="0.25">
      <c r="A306" s="1">
        <v>0.88541666666686003</v>
      </c>
      <c r="B306">
        <f t="shared" si="17"/>
        <v>1515</v>
      </c>
      <c r="C306">
        <f t="shared" si="15"/>
        <v>1275</v>
      </c>
      <c r="D306">
        <f>VLOOKUP($C306,Profile!$B$5:$K$29,2,TRUE)</f>
        <v>0.74</v>
      </c>
      <c r="E306" s="37">
        <f>VLOOKUP($C306,Profile!$B$5:$K$29,7,TRUE)</f>
        <v>0.71499999999999997</v>
      </c>
      <c r="F306">
        <f t="shared" si="16"/>
        <v>-2.083333333333335E-3</v>
      </c>
      <c r="G306">
        <v>8.7026764109230916E-5</v>
      </c>
      <c r="H306" s="37"/>
      <c r="I306">
        <v>0.24562736078439576</v>
      </c>
      <c r="J306" s="38">
        <f>-VLOOKUP($C306,Profile!$B$5:$K$29,3,TRUE)*($G306+$I306)</f>
        <v>-17.200007128395349</v>
      </c>
      <c r="K306" s="37"/>
      <c r="O306">
        <v>1.6751292424864375</v>
      </c>
      <c r="P306" s="38">
        <f>VLOOKUP($C306,Profile!$B$5:$K$29,5,TRUE)*$O306</f>
        <v>19.543174495675103</v>
      </c>
      <c r="Q306">
        <f t="shared" si="18"/>
        <v>211.67866276895654</v>
      </c>
    </row>
    <row r="307" spans="1:17" x14ac:dyDescent="0.25">
      <c r="A307" s="1">
        <v>0.88888888888908002</v>
      </c>
      <c r="B307">
        <f t="shared" si="17"/>
        <v>1520</v>
      </c>
      <c r="C307">
        <f t="shared" si="15"/>
        <v>1280</v>
      </c>
      <c r="D307">
        <f>VLOOKUP($C307,Profile!$B$5:$K$29,2,TRUE)</f>
        <v>0.74</v>
      </c>
      <c r="E307" s="37">
        <f>VLOOKUP($C307,Profile!$B$5:$K$29,7,TRUE)</f>
        <v>0.71499999999999997</v>
      </c>
      <c r="F307">
        <f t="shared" si="16"/>
        <v>-2.083333333333335E-3</v>
      </c>
      <c r="G307">
        <v>-2.4620758738047561E-5</v>
      </c>
      <c r="H307" s="37"/>
      <c r="I307">
        <v>0.24504376193927893</v>
      </c>
      <c r="J307" s="38">
        <f>-VLOOKUP($C307,Profile!$B$5:$K$29,3,TRUE)*($G307+$I307)</f>
        <v>-17.151339882637863</v>
      </c>
      <c r="K307" s="37"/>
      <c r="O307">
        <v>1.6390251246650576</v>
      </c>
      <c r="P307" s="38">
        <f>VLOOKUP($C307,Profile!$B$5:$K$29,5,TRUE)*$O307</f>
        <v>19.121959787759003</v>
      </c>
      <c r="Q307">
        <f t="shared" si="18"/>
        <v>213.64928267407768</v>
      </c>
    </row>
    <row r="308" spans="1:17" x14ac:dyDescent="0.25">
      <c r="A308" s="1">
        <v>0.89236111111130001</v>
      </c>
      <c r="B308">
        <f t="shared" si="17"/>
        <v>1525</v>
      </c>
      <c r="C308">
        <f t="shared" si="15"/>
        <v>1285</v>
      </c>
      <c r="D308">
        <f>VLOOKUP($C308,Profile!$B$5:$K$29,2,TRUE)</f>
        <v>0.74</v>
      </c>
      <c r="E308" s="37">
        <f>VLOOKUP($C308,Profile!$B$5:$K$29,7,TRUE)</f>
        <v>0.71499999999999997</v>
      </c>
      <c r="F308">
        <f t="shared" si="16"/>
        <v>-2.083333333333335E-3</v>
      </c>
      <c r="G308">
        <v>-1.3466119177209558E-4</v>
      </c>
      <c r="H308" s="37"/>
      <c r="I308">
        <v>0.24338084355483955</v>
      </c>
      <c r="J308" s="38">
        <f>-VLOOKUP($C308,Profile!$B$5:$K$29,3,TRUE)*($G308+$I308)</f>
        <v>-17.02723276541472</v>
      </c>
      <c r="K308" s="37"/>
      <c r="O308">
        <v>1.5958747154506492</v>
      </c>
      <c r="P308" s="38">
        <f>VLOOKUP($C308,Profile!$B$5:$K$29,5,TRUE)*$O308</f>
        <v>18.61853834692424</v>
      </c>
      <c r="Q308">
        <f t="shared" si="18"/>
        <v>215.24058825558723</v>
      </c>
    </row>
    <row r="309" spans="1:17" x14ac:dyDescent="0.25">
      <c r="A309" s="1">
        <v>0.895833333333519</v>
      </c>
      <c r="B309">
        <f t="shared" si="17"/>
        <v>1530</v>
      </c>
      <c r="C309">
        <f t="shared" si="15"/>
        <v>1290</v>
      </c>
      <c r="D309">
        <f>VLOOKUP($C309,Profile!$B$5:$K$29,2,TRUE)</f>
        <v>0.74</v>
      </c>
      <c r="E309" s="37">
        <f>VLOOKUP($C309,Profile!$B$5:$K$29,7,TRUE)</f>
        <v>0.71499999999999997</v>
      </c>
      <c r="F309">
        <f t="shared" si="16"/>
        <v>-2.083333333333335E-3</v>
      </c>
      <c r="G309">
        <v>-2.4275978052748325E-4</v>
      </c>
      <c r="H309" s="37"/>
      <c r="I309">
        <v>0.24076249409569181</v>
      </c>
      <c r="J309" s="38">
        <f>-VLOOKUP($C309,Profile!$B$5:$K$29,3,TRUE)*($G309+$I309)</f>
        <v>-16.836381402061502</v>
      </c>
      <c r="K309" s="37"/>
      <c r="O309">
        <v>1.5468723170123209</v>
      </c>
      <c r="P309" s="38">
        <f>VLOOKUP($C309,Profile!$B$5:$K$29,5,TRUE)*$O309</f>
        <v>18.046843698477076</v>
      </c>
      <c r="Q309">
        <f t="shared" si="18"/>
        <v>216.45105055200281</v>
      </c>
    </row>
    <row r="310" spans="1:17" x14ac:dyDescent="0.25">
      <c r="A310" s="1">
        <v>0.89930555555573899</v>
      </c>
      <c r="B310">
        <f t="shared" si="17"/>
        <v>1535</v>
      </c>
      <c r="C310">
        <f t="shared" si="15"/>
        <v>1295</v>
      </c>
      <c r="D310">
        <f>VLOOKUP($C310,Profile!$B$5:$K$29,2,TRUE)</f>
        <v>0.74</v>
      </c>
      <c r="E310" s="37">
        <f>VLOOKUP($C310,Profile!$B$5:$K$29,7,TRUE)</f>
        <v>0.71499999999999997</v>
      </c>
      <c r="F310">
        <f t="shared" si="16"/>
        <v>-2.083333333333335E-3</v>
      </c>
      <c r="G310">
        <v>-3.4862536630541865E-4</v>
      </c>
      <c r="H310" s="37"/>
      <c r="I310">
        <v>0.2373026121396937</v>
      </c>
      <c r="J310" s="38">
        <f>-VLOOKUP($C310,Profile!$B$5:$K$29,3,TRUE)*($G310+$I310)</f>
        <v>-16.58677907413718</v>
      </c>
      <c r="K310" s="37"/>
      <c r="O310">
        <v>1.4930860407826327</v>
      </c>
      <c r="P310" s="38">
        <f>VLOOKUP($C310,Profile!$B$5:$K$29,5,TRUE)*$O310</f>
        <v>17.419337142464048</v>
      </c>
      <c r="Q310">
        <f t="shared" si="18"/>
        <v>217.28360862032969</v>
      </c>
    </row>
    <row r="311" spans="1:17" x14ac:dyDescent="0.25">
      <c r="A311" s="1">
        <v>0.90277777777795898</v>
      </c>
      <c r="B311">
        <f t="shared" si="17"/>
        <v>1540</v>
      </c>
      <c r="C311">
        <f t="shared" si="15"/>
        <v>1300</v>
      </c>
      <c r="D311">
        <f>VLOOKUP($C311,Profile!$B$5:$K$29,2,TRUE)</f>
        <v>0.74</v>
      </c>
      <c r="E311" s="37">
        <f>VLOOKUP($C311,Profile!$B$5:$K$29,7,TRUE)</f>
        <v>0.71499999999999997</v>
      </c>
      <c r="F311">
        <f t="shared" si="16"/>
        <v>-2.083333333333335E-3</v>
      </c>
      <c r="G311">
        <v>-4.520067305143585E-4</v>
      </c>
      <c r="H311" s="37"/>
      <c r="I311">
        <v>0.23310579550791932</v>
      </c>
      <c r="J311" s="38">
        <f>-VLOOKUP($C311,Profile!$B$5:$K$29,3,TRUE)*($G311+$I311)</f>
        <v>-16.285765214418348</v>
      </c>
      <c r="K311" s="37"/>
      <c r="O311">
        <v>1.4354689142934167</v>
      </c>
      <c r="P311" s="38">
        <f>VLOOKUP($C311,Profile!$B$5:$K$29,5,TRUE)*$O311</f>
        <v>16.747137333423193</v>
      </c>
      <c r="Q311">
        <f t="shared" si="18"/>
        <v>217.74498073933452</v>
      </c>
    </row>
    <row r="312" spans="1:17" x14ac:dyDescent="0.25">
      <c r="A312" s="1">
        <v>0.90625000000017897</v>
      </c>
      <c r="B312">
        <f t="shared" si="17"/>
        <v>1545</v>
      </c>
      <c r="C312">
        <f t="shared" si="15"/>
        <v>1305</v>
      </c>
      <c r="D312">
        <f>VLOOKUP($C312,Profile!$B$5:$K$29,2,TRUE)</f>
        <v>0.74</v>
      </c>
      <c r="E312" s="37">
        <f>VLOOKUP($C312,Profile!$B$5:$K$29,7,TRUE)</f>
        <v>0.71499999999999997</v>
      </c>
      <c r="F312">
        <f t="shared" si="16"/>
        <v>-2.083333333333335E-3</v>
      </c>
      <c r="G312">
        <v>-5.5268919610364448E-4</v>
      </c>
      <c r="H312" s="37"/>
      <c r="I312">
        <v>0.22826798698035003</v>
      </c>
      <c r="J312" s="38">
        <f>-VLOOKUP($C312,Profile!$B$5:$K$29,3,TRUE)*($G312+$I312)</f>
        <v>-15.940070844897246</v>
      </c>
      <c r="K312" s="37"/>
      <c r="O312">
        <v>1.3748691044446366</v>
      </c>
      <c r="P312" s="38">
        <f>VLOOKUP($C312,Profile!$B$5:$K$29,5,TRUE)*$O312</f>
        <v>16.040139551854093</v>
      </c>
      <c r="Q312">
        <f t="shared" si="18"/>
        <v>217.84504944629137</v>
      </c>
    </row>
    <row r="313" spans="1:17" x14ac:dyDescent="0.25">
      <c r="A313" s="1">
        <v>0.90972222222239896</v>
      </c>
      <c r="B313">
        <f t="shared" si="17"/>
        <v>1550</v>
      </c>
      <c r="C313">
        <f t="shared" si="15"/>
        <v>1310</v>
      </c>
      <c r="D313">
        <f>VLOOKUP($C313,Profile!$B$5:$K$29,2,TRUE)</f>
        <v>0.74</v>
      </c>
      <c r="E313" s="37">
        <f>VLOOKUP($C313,Profile!$B$5:$K$29,7,TRUE)</f>
        <v>0.71499999999999997</v>
      </c>
      <c r="F313">
        <f t="shared" si="16"/>
        <v>-2.083333333333335E-3</v>
      </c>
      <c r="G313">
        <v>-6.5049146970515834E-4</v>
      </c>
      <c r="H313" s="37"/>
      <c r="I313">
        <v>0.22287707917291966</v>
      </c>
      <c r="J313" s="38">
        <f>-VLOOKUP($C313,Profile!$B$5:$K$29,3,TRUE)*($G313+$I313)</f>
        <v>-15.555861139225014</v>
      </c>
      <c r="K313" s="37"/>
      <c r="O313">
        <v>1.3120393230583276</v>
      </c>
      <c r="P313" s="38">
        <f>VLOOKUP($C313,Profile!$B$5:$K$29,5,TRUE)*$O313</f>
        <v>15.307125435680488</v>
      </c>
      <c r="Q313">
        <f t="shared" si="18"/>
        <v>217.59631374274684</v>
      </c>
    </row>
    <row r="314" spans="1:17" x14ac:dyDescent="0.25">
      <c r="A314" s="1">
        <v>0.91319444444461895</v>
      </c>
      <c r="B314">
        <f t="shared" si="17"/>
        <v>1555</v>
      </c>
      <c r="C314">
        <f t="shared" si="15"/>
        <v>1315</v>
      </c>
      <c r="D314">
        <f>VLOOKUP($C314,Profile!$B$5:$K$29,2,TRUE)</f>
        <v>0.74</v>
      </c>
      <c r="E314" s="37">
        <f>VLOOKUP($C314,Profile!$B$5:$K$29,7,TRUE)</f>
        <v>0.71499999999999997</v>
      </c>
      <c r="F314">
        <f t="shared" si="16"/>
        <v>-2.083333333333335E-3</v>
      </c>
      <c r="G314">
        <v>-7.452627090776099E-4</v>
      </c>
      <c r="H314" s="37"/>
      <c r="I314">
        <v>0.21701348100516663</v>
      </c>
      <c r="J314" s="38">
        <f>-VLOOKUP($C314,Profile!$B$5:$K$29,3,TRUE)*($G314+$I314)</f>
        <v>-15.138775280726232</v>
      </c>
      <c r="K314" s="37"/>
      <c r="O314">
        <v>1.2476454758818225</v>
      </c>
      <c r="P314" s="38">
        <f>VLOOKUP($C314,Profile!$B$5:$K$29,5,TRUE)*$O314</f>
        <v>14.555863885287929</v>
      </c>
      <c r="Q314">
        <f t="shared" si="18"/>
        <v>217.01340234730853</v>
      </c>
    </row>
    <row r="315" spans="1:17" x14ac:dyDescent="0.25">
      <c r="A315" s="1">
        <v>0.91666666666683905</v>
      </c>
      <c r="B315">
        <f t="shared" si="17"/>
        <v>1560</v>
      </c>
      <c r="C315">
        <f t="shared" si="15"/>
        <v>1320</v>
      </c>
      <c r="D315">
        <f>VLOOKUP($C315,Profile!$B$5:$K$29,2,TRUE)</f>
        <v>0.76</v>
      </c>
      <c r="E315" s="37">
        <f>VLOOKUP($C315,Profile!$B$5:$K$29,7,TRUE)</f>
        <v>0.71499999999999997</v>
      </c>
      <c r="F315">
        <f t="shared" si="16"/>
        <v>-3.7500000000000033E-3</v>
      </c>
      <c r="G315">
        <v>-8.3687980137169536E-4</v>
      </c>
      <c r="H315" s="37"/>
      <c r="I315">
        <v>0.21075064804941918</v>
      </c>
      <c r="J315" s="38">
        <f>-VLOOKUP($C315,Profile!$B$5:$K$29,3,TRUE)*($G315+$I315)</f>
        <v>-14.693963777363322</v>
      </c>
      <c r="K315" s="37"/>
      <c r="O315">
        <v>1.1822746118390957</v>
      </c>
      <c r="P315" s="38">
        <f>VLOOKUP($C315,Profile!$B$5:$K$29,5,TRUE)*$O315</f>
        <v>13.793203804789449</v>
      </c>
      <c r="Q315">
        <f t="shared" si="18"/>
        <v>216.11264237473463</v>
      </c>
    </row>
    <row r="316" spans="1:17" x14ac:dyDescent="0.25">
      <c r="A316" s="1">
        <v>0.92013888888905904</v>
      </c>
      <c r="B316">
        <f t="shared" si="17"/>
        <v>1565</v>
      </c>
      <c r="C316">
        <f t="shared" si="15"/>
        <v>1325</v>
      </c>
      <c r="D316">
        <f>VLOOKUP($C316,Profile!$B$5:$K$29,2,TRUE)</f>
        <v>0.76</v>
      </c>
      <c r="E316" s="37">
        <f>VLOOKUP($C316,Profile!$B$5:$K$29,7,TRUE)</f>
        <v>0.71499999999999997</v>
      </c>
      <c r="F316">
        <f t="shared" si="16"/>
        <v>-3.7500000000000033E-3</v>
      </c>
      <c r="G316">
        <v>-9.3327870785898394E-4</v>
      </c>
      <c r="H316" s="37"/>
      <c r="I316">
        <v>0.20415557892173036</v>
      </c>
      <c r="J316" s="38">
        <f>-VLOOKUP($C316,Profile!$B$5:$K$29,3,TRUE)*($G316+$I316)</f>
        <v>-14.225561014970998</v>
      </c>
      <c r="K316" s="37"/>
      <c r="O316">
        <v>1.1164422252646289</v>
      </c>
      <c r="P316" s="38">
        <f>VLOOKUP($C316,Profile!$B$5:$K$29,5,TRUE)*$O316</f>
        <v>13.025159294754003</v>
      </c>
      <c r="Q316">
        <f t="shared" si="18"/>
        <v>214.91224065451763</v>
      </c>
    </row>
    <row r="317" spans="1:17" x14ac:dyDescent="0.25">
      <c r="A317" s="1">
        <v>0.92361111111127903</v>
      </c>
      <c r="B317">
        <f t="shared" si="17"/>
        <v>1570</v>
      </c>
      <c r="C317">
        <f t="shared" si="15"/>
        <v>1330</v>
      </c>
      <c r="D317">
        <f>VLOOKUP($C317,Profile!$B$5:$K$29,2,TRUE)</f>
        <v>0.76</v>
      </c>
      <c r="E317" s="37">
        <f>VLOOKUP($C317,Profile!$B$5:$K$29,7,TRUE)</f>
        <v>0.71499999999999997</v>
      </c>
      <c r="F317">
        <f t="shared" si="16"/>
        <v>-3.7500000000000033E-3</v>
      </c>
      <c r="G317">
        <v>-1.0334063119107042E-3</v>
      </c>
      <c r="H317" s="37"/>
      <c r="I317">
        <v>0.19728927975128796</v>
      </c>
      <c r="J317" s="38">
        <f>-VLOOKUP($C317,Profile!$B$5:$K$29,3,TRUE)*($G317+$I317)</f>
        <v>-13.737911140756408</v>
      </c>
      <c r="K317" s="37"/>
      <c r="O317">
        <v>1.0505989600704522</v>
      </c>
      <c r="P317" s="38">
        <f>VLOOKUP($C317,Profile!$B$5:$K$29,5,TRUE)*$O317</f>
        <v>12.256987867488608</v>
      </c>
      <c r="Q317">
        <f t="shared" si="18"/>
        <v>213.43131738124984</v>
      </c>
    </row>
    <row r="318" spans="1:17" x14ac:dyDescent="0.25">
      <c r="A318" s="1">
        <v>0.92708333333349802</v>
      </c>
      <c r="B318">
        <f t="shared" si="17"/>
        <v>1575</v>
      </c>
      <c r="C318">
        <f t="shared" si="15"/>
        <v>1335</v>
      </c>
      <c r="D318">
        <f>VLOOKUP($C318,Profile!$B$5:$K$29,2,TRUE)</f>
        <v>0.76</v>
      </c>
      <c r="E318" s="37">
        <f>VLOOKUP($C318,Profile!$B$5:$K$29,7,TRUE)</f>
        <v>0.71499999999999997</v>
      </c>
      <c r="F318">
        <f t="shared" si="16"/>
        <v>-3.7500000000000033E-3</v>
      </c>
      <c r="G318">
        <v>-1.1363122021843307E-3</v>
      </c>
      <c r="H318" s="37"/>
      <c r="I318">
        <v>0.19020719864835806</v>
      </c>
      <c r="J318" s="38">
        <f>-VLOOKUP($C318,Profile!$B$5:$K$29,3,TRUE)*($G318+$I318)</f>
        <v>-13.234962051232161</v>
      </c>
      <c r="K318" s="37"/>
      <c r="O318">
        <v>0.98513676127512739</v>
      </c>
      <c r="P318" s="38">
        <f>VLOOKUP($C318,Profile!$B$5:$K$29,5,TRUE)*$O318</f>
        <v>11.493262214876486</v>
      </c>
      <c r="Q318">
        <f t="shared" si="18"/>
        <v>211.68961754489416</v>
      </c>
    </row>
    <row r="319" spans="1:17" x14ac:dyDescent="0.25">
      <c r="A319" s="1">
        <v>0.93055555555571801</v>
      </c>
      <c r="B319">
        <f t="shared" si="17"/>
        <v>1580</v>
      </c>
      <c r="C319">
        <f t="shared" si="15"/>
        <v>1340</v>
      </c>
      <c r="D319">
        <f>VLOOKUP($C319,Profile!$B$5:$K$29,2,TRUE)</f>
        <v>0.76</v>
      </c>
      <c r="E319" s="37">
        <f>VLOOKUP($C319,Profile!$B$5:$K$29,7,TRUE)</f>
        <v>0.71499999999999997</v>
      </c>
      <c r="F319">
        <f t="shared" si="16"/>
        <v>-3.7500000000000033E-3</v>
      </c>
      <c r="G319">
        <v>-1.2411408559965438E-3</v>
      </c>
      <c r="H319" s="37"/>
      <c r="I319">
        <v>0.18295963198061077</v>
      </c>
      <c r="J319" s="38">
        <f>-VLOOKUP($C319,Profile!$B$5:$K$29,3,TRUE)*($G319+$I319)</f>
        <v>-12.720294378722995</v>
      </c>
      <c r="K319" s="37"/>
      <c r="O319">
        <v>0.92039451604577815</v>
      </c>
      <c r="P319" s="38">
        <f>VLOOKUP($C319,Profile!$B$5:$K$29,5,TRUE)*$O319</f>
        <v>10.737936020534079</v>
      </c>
      <c r="Q319">
        <f t="shared" si="18"/>
        <v>209.70725918670524</v>
      </c>
    </row>
    <row r="320" spans="1:17" x14ac:dyDescent="0.25">
      <c r="A320" s="1">
        <v>0.934027777777938</v>
      </c>
      <c r="B320">
        <f t="shared" si="17"/>
        <v>1585</v>
      </c>
      <c r="C320">
        <f t="shared" si="15"/>
        <v>1345</v>
      </c>
      <c r="D320">
        <f>VLOOKUP($C320,Profile!$B$5:$K$29,2,TRUE)</f>
        <v>0.76</v>
      </c>
      <c r="E320" s="37">
        <f>VLOOKUP($C320,Profile!$B$5:$K$29,7,TRUE)</f>
        <v>0.71499999999999997</v>
      </c>
      <c r="F320">
        <f t="shared" si="16"/>
        <v>-3.7500000000000033E-3</v>
      </c>
      <c r="G320">
        <v>-1.3471243463433447E-3</v>
      </c>
      <c r="H320" s="37"/>
      <c r="I320">
        <v>0.17559210416357801</v>
      </c>
      <c r="J320" s="38">
        <f>-VLOOKUP($C320,Profile!$B$5:$K$29,3,TRUE)*($G320+$I320)</f>
        <v>-12.197148587206426</v>
      </c>
      <c r="K320" s="37"/>
      <c r="O320">
        <v>0.85666322335434542</v>
      </c>
      <c r="P320" s="38">
        <f>VLOOKUP($C320,Profile!$B$5:$K$29,5,TRUE)*$O320</f>
        <v>9.9944042724673618</v>
      </c>
      <c r="Q320">
        <f t="shared" si="18"/>
        <v>207.50451487196619</v>
      </c>
    </row>
    <row r="321" spans="1:17" x14ac:dyDescent="0.25">
      <c r="A321" s="1">
        <v>0.93750000000015798</v>
      </c>
      <c r="B321">
        <f t="shared" si="17"/>
        <v>1590</v>
      </c>
      <c r="C321">
        <f t="shared" si="15"/>
        <v>1350</v>
      </c>
      <c r="D321">
        <f>VLOOKUP($C321,Profile!$B$5:$K$29,2,TRUE)</f>
        <v>0.76</v>
      </c>
      <c r="E321" s="37">
        <f>VLOOKUP($C321,Profile!$B$5:$K$29,7,TRUE)</f>
        <v>0.71499999999999997</v>
      </c>
      <c r="F321">
        <f t="shared" si="16"/>
        <v>-3.7500000000000033E-3</v>
      </c>
      <c r="G321">
        <v>-1.453575540153722E-3</v>
      </c>
      <c r="H321" s="37"/>
      <c r="I321">
        <v>0.16814572257267138</v>
      </c>
      <c r="J321" s="38">
        <f>-VLOOKUP($C321,Profile!$B$5:$K$29,3,TRUE)*($G321+$I321)</f>
        <v>-11.668450292276237</v>
      </c>
      <c r="K321" s="37"/>
      <c r="O321">
        <v>0.79419072851173589</v>
      </c>
      <c r="P321" s="38">
        <f>VLOOKUP($C321,Profile!$B$5:$K$29,5,TRUE)*$O321</f>
        <v>9.2655584993035855</v>
      </c>
      <c r="Q321">
        <f t="shared" si="18"/>
        <v>205.10162307899353</v>
      </c>
    </row>
    <row r="322" spans="1:17" x14ac:dyDescent="0.25">
      <c r="A322" s="1">
        <v>0.94097222222237797</v>
      </c>
      <c r="B322">
        <f t="shared" si="17"/>
        <v>1595</v>
      </c>
      <c r="C322">
        <f t="shared" si="15"/>
        <v>1355</v>
      </c>
      <c r="D322">
        <f>VLOOKUP($C322,Profile!$B$5:$K$29,2,TRUE)</f>
        <v>0.76</v>
      </c>
      <c r="E322" s="37">
        <f>VLOOKUP($C322,Profile!$B$5:$K$29,7,TRUE)</f>
        <v>0.71499999999999997</v>
      </c>
      <c r="F322">
        <f t="shared" si="16"/>
        <v>-3.7500000000000033E-3</v>
      </c>
      <c r="G322">
        <v>-1.5598817572638932E-3</v>
      </c>
      <c r="H322" s="37"/>
      <c r="I322">
        <v>0.16065750909134066</v>
      </c>
      <c r="J322" s="38">
        <f>-VLOOKUP($C322,Profile!$B$5:$K$29,3,TRUE)*($G322+$I322)</f>
        <v>-11.136833913385374</v>
      </c>
      <c r="K322" s="37"/>
      <c r="O322">
        <v>0.73318605620401434</v>
      </c>
      <c r="P322" s="38">
        <f>VLOOKUP($C322,Profile!$B$5:$K$29,5,TRUE)*$O322</f>
        <v>8.5538373223801667</v>
      </c>
      <c r="Q322">
        <f t="shared" si="18"/>
        <v>202.51862648798831</v>
      </c>
    </row>
    <row r="323" spans="1:17" x14ac:dyDescent="0.25">
      <c r="A323" s="1">
        <v>0.94444444444459796</v>
      </c>
      <c r="B323">
        <f t="shared" si="17"/>
        <v>1600</v>
      </c>
      <c r="C323">
        <f t="shared" ref="C323:C387" si="19">MOD(INT(A323/Minute),1440)</f>
        <v>1360</v>
      </c>
      <c r="D323">
        <f>VLOOKUP($C323,Profile!$B$5:$K$29,2,TRUE)</f>
        <v>0.76</v>
      </c>
      <c r="E323" s="37">
        <f>VLOOKUP($C323,Profile!$B$5:$K$29,7,TRUE)</f>
        <v>0.71499999999999997</v>
      </c>
      <c r="F323">
        <f t="shared" si="16"/>
        <v>-3.7500000000000033E-3</v>
      </c>
      <c r="G323">
        <v>-1.6654988613926502E-3</v>
      </c>
      <c r="H323" s="37"/>
      <c r="I323">
        <v>0.15316070972227128</v>
      </c>
      <c r="J323" s="38">
        <f>-VLOOKUP($C323,Profile!$B$5:$K$29,3,TRUE)*($G323+$I323)</f>
        <v>-10.604664760261505</v>
      </c>
      <c r="K323" s="37"/>
      <c r="O323">
        <v>0.67382337319988028</v>
      </c>
      <c r="P323" s="38">
        <f>VLOOKUP($C323,Profile!$B$5:$K$29,5,TRUE)*$O323</f>
        <v>7.8612726873319358</v>
      </c>
      <c r="Q323">
        <f t="shared" si="18"/>
        <v>199.77523441505875</v>
      </c>
    </row>
    <row r="324" spans="1:17" x14ac:dyDescent="0.25">
      <c r="A324" s="1">
        <v>0.94791666666681795</v>
      </c>
      <c r="B324">
        <f t="shared" si="17"/>
        <v>1605</v>
      </c>
      <c r="C324">
        <f t="shared" si="19"/>
        <v>1365</v>
      </c>
      <c r="D324">
        <f>VLOOKUP($C324,Profile!$B$5:$K$29,2,TRUE)</f>
        <v>0.76</v>
      </c>
      <c r="E324" s="37">
        <f>VLOOKUP($C324,Profile!$B$5:$K$29,7,TRUE)</f>
        <v>0.71499999999999997</v>
      </c>
      <c r="F324">
        <f t="shared" ref="F324:F387" si="20">+(E324-D324)/12</f>
        <v>-3.7500000000000033E-3</v>
      </c>
      <c r="G324">
        <v>-1.7699457560905686E-3</v>
      </c>
      <c r="H324" s="37"/>
      <c r="I324">
        <v>0.14568508360573151</v>
      </c>
      <c r="J324" s="38">
        <f>-VLOOKUP($C324,Profile!$B$5:$K$29,3,TRUE)*($G324+$I324)</f>
        <v>-10.074059649474865</v>
      </c>
      <c r="K324" s="37"/>
      <c r="O324">
        <v>0.61624560961585217</v>
      </c>
      <c r="P324" s="38">
        <f>VLOOKUP($C324,Profile!$B$5:$K$29,5,TRUE)*$O324</f>
        <v>7.189532112184942</v>
      </c>
      <c r="Q324">
        <f t="shared" si="18"/>
        <v>196.89070687776882</v>
      </c>
    </row>
    <row r="325" spans="1:17" x14ac:dyDescent="0.25">
      <c r="A325" s="1">
        <v>0.95138888888903805</v>
      </c>
      <c r="B325">
        <f t="shared" ref="B325:B387" si="21">+B324+5</f>
        <v>1610</v>
      </c>
      <c r="C325">
        <f t="shared" si="19"/>
        <v>1370</v>
      </c>
      <c r="D325">
        <f>VLOOKUP($C325,Profile!$B$5:$K$29,2,TRUE)</f>
        <v>0.76</v>
      </c>
      <c r="E325" s="37">
        <f>VLOOKUP($C325,Profile!$B$5:$K$29,7,TRUE)</f>
        <v>0.71499999999999997</v>
      </c>
      <c r="F325">
        <f t="shared" si="20"/>
        <v>-3.7500000000000033E-3</v>
      </c>
      <c r="G325">
        <v>-1.8727992602323659E-3</v>
      </c>
      <c r="H325" s="37"/>
      <c r="I325">
        <v>0.13825717271101978</v>
      </c>
      <c r="J325" s="38">
        <f>-VLOOKUP($C325,Profile!$B$5:$K$29,3,TRUE)*($G325+$I325)</f>
        <v>-9.5469061415551195</v>
      </c>
      <c r="K325" s="37"/>
      <c r="O325">
        <v>0.56056776550312837</v>
      </c>
      <c r="P325" s="38">
        <f>VLOOKUP($C325,Profile!$B$5:$K$29,5,TRUE)*$O325</f>
        <v>6.5399572642031636</v>
      </c>
      <c r="Q325">
        <f t="shared" si="18"/>
        <v>193.88375800041686</v>
      </c>
    </row>
    <row r="326" spans="1:17" x14ac:dyDescent="0.25">
      <c r="A326" s="1">
        <v>0.95486111111125704</v>
      </c>
      <c r="B326">
        <f t="shared" si="21"/>
        <v>1615</v>
      </c>
      <c r="C326">
        <f t="shared" si="19"/>
        <v>1375</v>
      </c>
      <c r="D326">
        <f>VLOOKUP($C326,Profile!$B$5:$K$29,2,TRUE)</f>
        <v>0.76</v>
      </c>
      <c r="E326" s="37">
        <f>VLOOKUP($C326,Profile!$B$5:$K$29,7,TRUE)</f>
        <v>0.71499999999999997</v>
      </c>
      <c r="F326">
        <f t="shared" si="20"/>
        <v>-3.7500000000000033E-3</v>
      </c>
      <c r="G326">
        <v>-1.9736893391277262E-3</v>
      </c>
      <c r="H326" s="37"/>
      <c r="I326">
        <v>0.13090055339317735</v>
      </c>
      <c r="J326" s="38">
        <f>-VLOOKUP($C326,Profile!$B$5:$K$29,3,TRUE)*($G326+$I326)</f>
        <v>-9.0248804837834733</v>
      </c>
      <c r="K326" s="37"/>
      <c r="O326">
        <v>0.50687992754710975</v>
      </c>
      <c r="P326" s="38">
        <f>VLOOKUP($C326,Profile!$B$5:$K$29,5,TRUE)*$O326</f>
        <v>5.9135991547162803</v>
      </c>
      <c r="Q326">
        <f t="shared" si="18"/>
        <v>190.77247667134966</v>
      </c>
    </row>
    <row r="327" spans="1:17" x14ac:dyDescent="0.25">
      <c r="A327" s="1">
        <v>0.95833333333347703</v>
      </c>
      <c r="B327">
        <f t="shared" si="21"/>
        <v>1620</v>
      </c>
      <c r="C327">
        <f t="shared" si="19"/>
        <v>1380</v>
      </c>
      <c r="D327">
        <f>VLOOKUP($C327,Profile!$B$5:$K$29,2,TRUE)</f>
        <v>0.78</v>
      </c>
      <c r="E327" s="37">
        <f>VLOOKUP($C327,Profile!$B$5:$K$29,7,TRUE)</f>
        <v>0.71499999999999997</v>
      </c>
      <c r="F327">
        <f t="shared" si="20"/>
        <v>-5.4166666666666712E-3</v>
      </c>
      <c r="G327">
        <v>-2.0722946687464546E-3</v>
      </c>
      <c r="H327" s="37"/>
      <c r="I327">
        <v>0.12363607093748104</v>
      </c>
      <c r="J327" s="38">
        <f>-VLOOKUP($C327,Profile!$B$5:$K$29,3,TRUE)*($G327+$I327)</f>
        <v>-8.5094643388114211</v>
      </c>
      <c r="K327" s="37"/>
      <c r="O327">
        <v>0.45525001883685345</v>
      </c>
      <c r="P327" s="38">
        <f>VLOOKUP($C327,Profile!$B$5:$K$29,5,TRUE)*$O327</f>
        <v>5.3112502197632896</v>
      </c>
      <c r="Q327">
        <f t="shared" si="18"/>
        <v>187.57426255230152</v>
      </c>
    </row>
    <row r="328" spans="1:17" x14ac:dyDescent="0.25">
      <c r="A328" s="1">
        <v>0.96180555555569702</v>
      </c>
      <c r="B328">
        <f t="shared" si="21"/>
        <v>1625</v>
      </c>
      <c r="C328">
        <f t="shared" si="19"/>
        <v>1385</v>
      </c>
      <c r="D328">
        <f>VLOOKUP($C328,Profile!$B$5:$K$29,2,TRUE)</f>
        <v>0.78</v>
      </c>
      <c r="E328" s="37">
        <f>VLOOKUP($C328,Profile!$B$5:$K$29,7,TRUE)</f>
        <v>0.71499999999999997</v>
      </c>
      <c r="F328">
        <f t="shared" si="20"/>
        <v>-5.4166666666666712E-3</v>
      </c>
      <c r="G328">
        <v>-2.1766717045202033E-3</v>
      </c>
      <c r="H328" s="37"/>
      <c r="I328">
        <v>0.11648205814849615</v>
      </c>
      <c r="J328" s="38">
        <f>-VLOOKUP($C328,Profile!$B$5:$K$29,3,TRUE)*($G328+$I328)</f>
        <v>-8.0013770510783164</v>
      </c>
      <c r="K328" s="37"/>
      <c r="O328">
        <v>0.40572630295776135</v>
      </c>
      <c r="P328" s="38">
        <f>VLOOKUP($C328,Profile!$B$5:$K$29,5,TRUE)*$O328</f>
        <v>4.7334735345072154</v>
      </c>
      <c r="Q328">
        <f t="shared" si="18"/>
        <v>184.30635903573042</v>
      </c>
    </row>
    <row r="329" spans="1:17" x14ac:dyDescent="0.25">
      <c r="A329" s="1">
        <v>0.96527777777791701</v>
      </c>
      <c r="B329">
        <f t="shared" si="21"/>
        <v>1630</v>
      </c>
      <c r="C329">
        <f t="shared" si="19"/>
        <v>1390</v>
      </c>
      <c r="D329">
        <f>VLOOKUP($C329,Profile!$B$5:$K$29,2,TRUE)</f>
        <v>0.78</v>
      </c>
      <c r="E329" s="37">
        <f>VLOOKUP($C329,Profile!$B$5:$K$29,7,TRUE)</f>
        <v>0.71499999999999997</v>
      </c>
      <c r="F329">
        <f t="shared" si="20"/>
        <v>-5.4166666666666712E-3</v>
      </c>
      <c r="G329">
        <v>-2.2855897542354885E-3</v>
      </c>
      <c r="H329" s="37"/>
      <c r="I329">
        <v>0.10945453897843251</v>
      </c>
      <c r="J329" s="38">
        <f>-VLOOKUP($C329,Profile!$B$5:$K$29,3,TRUE)*($G329+$I329)</f>
        <v>-7.5018264456937915</v>
      </c>
      <c r="K329" s="37"/>
      <c r="O329">
        <v>0.35833966207769818</v>
      </c>
      <c r="P329" s="38">
        <f>VLOOKUP($C329,Profile!$B$5:$K$29,5,TRUE)*$O329</f>
        <v>4.1806293909064784</v>
      </c>
      <c r="Q329">
        <f t="shared" si="18"/>
        <v>180.98516198094313</v>
      </c>
    </row>
    <row r="330" spans="1:17" x14ac:dyDescent="0.25">
      <c r="A330" s="1">
        <v>0.968750000000137</v>
      </c>
      <c r="B330">
        <f t="shared" si="21"/>
        <v>1635</v>
      </c>
      <c r="C330">
        <f t="shared" si="19"/>
        <v>1395</v>
      </c>
      <c r="D330">
        <f>VLOOKUP($C330,Profile!$B$5:$K$29,2,TRUE)</f>
        <v>0.78</v>
      </c>
      <c r="E330" s="37">
        <f>VLOOKUP($C330,Profile!$B$5:$K$29,7,TRUE)</f>
        <v>0.71499999999999997</v>
      </c>
      <c r="F330">
        <f t="shared" si="20"/>
        <v>-5.4166666666666712E-3</v>
      </c>
      <c r="G330">
        <v>-2.397937803239665E-3</v>
      </c>
      <c r="H330" s="37"/>
      <c r="I330">
        <v>0.10256741813100412</v>
      </c>
      <c r="J330" s="38">
        <f>-VLOOKUP($C330,Profile!$B$5:$K$29,3,TRUE)*($G330+$I330)</f>
        <v>-7.0118636229435118</v>
      </c>
      <c r="K330" s="37"/>
      <c r="O330">
        <v>0.31310566722622224</v>
      </c>
      <c r="P330" s="38">
        <f>VLOOKUP($C330,Profile!$B$5:$K$29,5,TRUE)*$O330</f>
        <v>3.6528994509725927</v>
      </c>
      <c r="Q330">
        <f t="shared" si="18"/>
        <v>177.62619780897222</v>
      </c>
    </row>
    <row r="331" spans="1:17" x14ac:dyDescent="0.25">
      <c r="A331" s="1">
        <v>0.97222222222235699</v>
      </c>
      <c r="B331">
        <f t="shared" si="21"/>
        <v>1640</v>
      </c>
      <c r="C331">
        <f t="shared" si="19"/>
        <v>1400</v>
      </c>
      <c r="D331">
        <f>VLOOKUP($C331,Profile!$B$5:$K$29,2,TRUE)</f>
        <v>0.78</v>
      </c>
      <c r="E331" s="37">
        <f>VLOOKUP($C331,Profile!$B$5:$K$29,7,TRUE)</f>
        <v>0.71499999999999997</v>
      </c>
      <c r="F331">
        <f t="shared" si="20"/>
        <v>-5.4166666666666712E-3</v>
      </c>
      <c r="G331">
        <v>-2.5127154097965509E-3</v>
      </c>
      <c r="H331" s="37"/>
      <c r="I331">
        <v>9.5832657521760761E-2</v>
      </c>
      <c r="J331" s="38">
        <f>-VLOOKUP($C331,Profile!$B$5:$K$29,3,TRUE)*($G331+$I331)</f>
        <v>-6.532395947837494</v>
      </c>
      <c r="K331" s="37"/>
      <c r="O331">
        <v>0.27002645760092575</v>
      </c>
      <c r="P331" s="38">
        <f>VLOOKUP($C331,Profile!$B$5:$K$29,5,TRUE)*$O331</f>
        <v>3.1503086720108002</v>
      </c>
      <c r="Q331">
        <f t="shared" si="18"/>
        <v>174.24411053314552</v>
      </c>
    </row>
    <row r="332" spans="1:17" x14ac:dyDescent="0.25">
      <c r="A332" s="1">
        <v>0.97569444444457698</v>
      </c>
      <c r="B332">
        <f t="shared" si="21"/>
        <v>1645</v>
      </c>
      <c r="C332">
        <f t="shared" si="19"/>
        <v>1405</v>
      </c>
      <c r="D332">
        <f>VLOOKUP($C332,Profile!$B$5:$K$29,2,TRUE)</f>
        <v>0.78</v>
      </c>
      <c r="E332" s="37">
        <f>VLOOKUP($C332,Profile!$B$5:$K$29,7,TRUE)</f>
        <v>0.71499999999999997</v>
      </c>
      <c r="F332">
        <f t="shared" si="20"/>
        <v>-5.4166666666666712E-3</v>
      </c>
      <c r="G332">
        <v>-2.6290242104321355E-3</v>
      </c>
      <c r="H332" s="37"/>
      <c r="I332">
        <v>8.926044042374745E-2</v>
      </c>
      <c r="J332" s="38">
        <f>-VLOOKUP($C332,Profile!$B$5:$K$29,3,TRUE)*($G332+$I332)</f>
        <v>-6.0641991349320721</v>
      </c>
      <c r="K332" s="37"/>
      <c r="O332">
        <v>0.22909244446683069</v>
      </c>
      <c r="P332" s="38">
        <f>VLOOKUP($C332,Profile!$B$5:$K$29,5,TRUE)*$O332</f>
        <v>2.6727451854463578</v>
      </c>
      <c r="Q332">
        <f t="shared" si="18"/>
        <v>170.85265658365981</v>
      </c>
    </row>
    <row r="333" spans="1:17" x14ac:dyDescent="0.25">
      <c r="A333" s="1">
        <v>0.97916666666679697</v>
      </c>
      <c r="B333">
        <f t="shared" si="21"/>
        <v>1650</v>
      </c>
      <c r="C333">
        <f t="shared" si="19"/>
        <v>1410</v>
      </c>
      <c r="D333">
        <f>VLOOKUP($C333,Profile!$B$5:$K$29,2,TRUE)</f>
        <v>0.78</v>
      </c>
      <c r="E333" s="37">
        <f>VLOOKUP($C333,Profile!$B$5:$K$29,7,TRUE)</f>
        <v>0.71499999999999997</v>
      </c>
      <c r="F333">
        <f t="shared" si="20"/>
        <v>-5.4166666666666712E-3</v>
      </c>
      <c r="G333">
        <v>-2.7460599975042796E-3</v>
      </c>
      <c r="H333" s="37"/>
      <c r="I333">
        <v>8.2859324078193852E-2</v>
      </c>
      <c r="J333" s="38">
        <f>-VLOOKUP($C333,Profile!$B$5:$K$29,3,TRUE)*($G333+$I333)</f>
        <v>-5.6079284856482703</v>
      </c>
      <c r="K333" s="37"/>
      <c r="O333">
        <v>0.1902838540376158</v>
      </c>
      <c r="P333" s="38">
        <f>VLOOKUP($C333,Profile!$B$5:$K$29,5,TRUE)*$O333</f>
        <v>2.2199782971055178</v>
      </c>
      <c r="Q333">
        <f t="shared" si="18"/>
        <v>167.46470639511705</v>
      </c>
    </row>
    <row r="334" spans="1:17" x14ac:dyDescent="0.25">
      <c r="A334" s="1">
        <v>0.98263888888901596</v>
      </c>
      <c r="B334">
        <f t="shared" si="21"/>
        <v>1655</v>
      </c>
      <c r="C334">
        <f t="shared" si="19"/>
        <v>1415</v>
      </c>
      <c r="D334">
        <f>VLOOKUP($C334,Profile!$B$5:$K$29,2,TRUE)</f>
        <v>0.78</v>
      </c>
      <c r="E334" s="37">
        <f>VLOOKUP($C334,Profile!$B$5:$K$29,7,TRUE)</f>
        <v>0.71499999999999997</v>
      </c>
      <c r="F334">
        <f t="shared" si="20"/>
        <v>-5.4166666666666712E-3</v>
      </c>
      <c r="G334">
        <v>-2.8631053334452947E-3</v>
      </c>
      <c r="H334" s="37"/>
      <c r="I334">
        <v>7.6636381503568218E-2</v>
      </c>
      <c r="J334" s="38">
        <f>-VLOOKUP($C334,Profile!$B$5:$K$29,3,TRUE)*($G334+$I334)</f>
        <v>-5.1641293319086046</v>
      </c>
      <c r="K334" s="37"/>
      <c r="O334">
        <v>0.15357212263490247</v>
      </c>
      <c r="P334" s="38">
        <f>VLOOKUP($C334,Profile!$B$5:$K$29,5,TRUE)*$O334</f>
        <v>1.7916747640738619</v>
      </c>
      <c r="Q334">
        <f t="shared" si="18"/>
        <v>164.0922518272823</v>
      </c>
    </row>
    <row r="335" spans="1:17" x14ac:dyDescent="0.25">
      <c r="A335" s="1">
        <v>0.98611111111123595</v>
      </c>
      <c r="B335">
        <f t="shared" si="21"/>
        <v>1660</v>
      </c>
      <c r="C335">
        <f t="shared" si="19"/>
        <v>1420</v>
      </c>
      <c r="D335">
        <f>VLOOKUP($C335,Profile!$B$5:$K$29,2,TRUE)</f>
        <v>0.78</v>
      </c>
      <c r="E335" s="37">
        <f>VLOOKUP($C335,Profile!$B$5:$K$29,7,TRUE)</f>
        <v>0.71499999999999997</v>
      </c>
      <c r="F335">
        <f t="shared" si="20"/>
        <v>-5.4166666666666712E-3</v>
      </c>
      <c r="G335">
        <v>-2.9795226682164042E-3</v>
      </c>
      <c r="H335" s="37"/>
      <c r="I335">
        <v>7.0597333192605902E-2</v>
      </c>
      <c r="J335" s="38">
        <f>-VLOOKUP($C335,Profile!$B$5:$K$29,3,TRUE)*($G335+$I335)</f>
        <v>-4.7332467367072653</v>
      </c>
      <c r="K335" s="37"/>
      <c r="O335">
        <v>0.11892115640800509</v>
      </c>
      <c r="P335" s="38">
        <f>VLOOKUP($C335,Profile!$B$5:$K$29,5,TRUE)*$O335</f>
        <v>1.387413491426726</v>
      </c>
      <c r="Q335">
        <f t="shared" si="18"/>
        <v>160.74641858200175</v>
      </c>
    </row>
    <row r="336" spans="1:17" x14ac:dyDescent="0.25">
      <c r="A336" s="1">
        <v>0.98958333333345605</v>
      </c>
      <c r="B336">
        <f t="shared" si="21"/>
        <v>1665</v>
      </c>
      <c r="C336">
        <f t="shared" si="19"/>
        <v>1425</v>
      </c>
      <c r="D336">
        <f>VLOOKUP($C336,Profile!$B$5:$K$29,2,TRUE)</f>
        <v>0.78</v>
      </c>
      <c r="E336" s="37">
        <f>VLOOKUP($C336,Profile!$B$5:$K$29,7,TRUE)</f>
        <v>0.71499999999999997</v>
      </c>
      <c r="F336">
        <f t="shared" si="20"/>
        <v>-5.4166666666666712E-3</v>
      </c>
      <c r="G336">
        <v>-3.0947479284851487E-3</v>
      </c>
      <c r="H336" s="37"/>
      <c r="I336">
        <v>6.474666934568582E-2</v>
      </c>
      <c r="J336" s="38">
        <f>-VLOOKUP($C336,Profile!$B$5:$K$29,3,TRUE)*($G336+$I336)</f>
        <v>-4.3156344992040472</v>
      </c>
      <c r="K336" s="37"/>
      <c r="O336">
        <v>8.6288466956032969E-2</v>
      </c>
      <c r="P336" s="38">
        <f>VLOOKUP($C336,Profile!$B$5:$K$29,5,TRUE)*$O336</f>
        <v>1.006698781153718</v>
      </c>
      <c r="Q336">
        <f t="shared" si="18"/>
        <v>157.43748286395143</v>
      </c>
    </row>
    <row r="337" spans="1:17" x14ac:dyDescent="0.25">
      <c r="A337" s="1">
        <v>0.99305555555567604</v>
      </c>
      <c r="B337">
        <f t="shared" si="21"/>
        <v>1670</v>
      </c>
      <c r="C337">
        <f t="shared" si="19"/>
        <v>1430</v>
      </c>
      <c r="D337">
        <f>VLOOKUP($C337,Profile!$B$5:$K$29,2,TRUE)</f>
        <v>0.78</v>
      </c>
      <c r="E337" s="37">
        <f>VLOOKUP($C337,Profile!$B$5:$K$29,7,TRUE)</f>
        <v>0.71499999999999997</v>
      </c>
      <c r="F337">
        <f t="shared" si="20"/>
        <v>-5.4166666666666712E-3</v>
      </c>
      <c r="G337">
        <v>-3.2082845488972962E-3</v>
      </c>
      <c r="H337" s="37"/>
      <c r="I337">
        <v>5.9087763250052071E-2</v>
      </c>
      <c r="J337" s="38">
        <f>-VLOOKUP($C337,Profile!$B$5:$K$29,3,TRUE)*($G337+$I337)</f>
        <v>-3.9115635090808345</v>
      </c>
      <c r="K337" s="37"/>
      <c r="O337">
        <v>5.5626193321886855E-2</v>
      </c>
      <c r="P337" s="38">
        <f>VLOOKUP($C337,Profile!$B$5:$K$29,5,TRUE)*$O337</f>
        <v>0.64897225542201331</v>
      </c>
      <c r="Q337">
        <f t="shared" si="18"/>
        <v>154.17489161029263</v>
      </c>
    </row>
    <row r="338" spans="1:17" x14ac:dyDescent="0.25">
      <c r="A338" s="1">
        <v>0.99652777777789603</v>
      </c>
      <c r="B338">
        <f t="shared" si="21"/>
        <v>1675</v>
      </c>
      <c r="C338">
        <f t="shared" si="19"/>
        <v>1435</v>
      </c>
      <c r="D338">
        <f>VLOOKUP($C338,Profile!$B$5:$K$29,2,TRUE)</f>
        <v>0.78</v>
      </c>
      <c r="E338" s="37">
        <f>VLOOKUP($C338,Profile!$B$5:$K$29,7,TRUE)</f>
        <v>0.71499999999999997</v>
      </c>
      <c r="F338">
        <f t="shared" si="20"/>
        <v>-5.4166666666666712E-3</v>
      </c>
      <c r="G338">
        <v>-3.3196979175698607E-3</v>
      </c>
      <c r="H338" s="37"/>
      <c r="I338">
        <v>5.3622976377720906E-2</v>
      </c>
      <c r="J338" s="38">
        <f>-VLOOKUP($C338,Profile!$B$5:$K$29,3,TRUE)*($G338+$I338)</f>
        <v>-3.5212294922105731</v>
      </c>
      <c r="K338" s="37"/>
      <c r="O338">
        <v>2.6882020018778607E-2</v>
      </c>
      <c r="P338" s="38">
        <f>VLOOKUP($C338,Profile!$B$5:$K$29,5,TRUE)*$O338</f>
        <v>0.31362356688575038</v>
      </c>
      <c r="Q338">
        <f t="shared" si="18"/>
        <v>150.96728568496781</v>
      </c>
    </row>
    <row r="339" spans="1:17" x14ac:dyDescent="0.25">
      <c r="A339" s="1">
        <v>1.0000000000001199</v>
      </c>
      <c r="B339">
        <f t="shared" si="21"/>
        <v>1680</v>
      </c>
      <c r="C339">
        <f t="shared" si="19"/>
        <v>0</v>
      </c>
      <c r="D339">
        <f>VLOOKUP($C339,Profile!$B$5:$K$29,2,TRUE)</f>
        <v>0.61</v>
      </c>
      <c r="E339" s="37">
        <f>VLOOKUP($C339,Profile!$B$5:$K$29,7,TRUE)</f>
        <v>0.71499999999999997</v>
      </c>
      <c r="F339">
        <f t="shared" si="20"/>
        <v>8.7499999999999991E-3</v>
      </c>
      <c r="G339">
        <v>-3.4286102095872099E-3</v>
      </c>
      <c r="H339" s="37"/>
      <c r="I339">
        <v>4.8353755740364893E-2</v>
      </c>
      <c r="J339" s="38">
        <f>-VLOOKUP($C339,Profile!$B$5:$K$29,3,TRUE)*($G339+$I339)</f>
        <v>-3.1447601871544379</v>
      </c>
      <c r="K339" s="37"/>
      <c r="O339">
        <v>0</v>
      </c>
      <c r="P339" s="38">
        <f>VLOOKUP($C339,Profile!$B$5:$K$29,5,TRUE)*$O339</f>
        <v>0</v>
      </c>
      <c r="Q339">
        <f t="shared" si="18"/>
        <v>147.82252549781336</v>
      </c>
    </row>
    <row r="340" spans="1:17" x14ac:dyDescent="0.25">
      <c r="A340" s="1">
        <v>1.00347222222234</v>
      </c>
      <c r="B340">
        <f t="shared" si="21"/>
        <v>1685</v>
      </c>
      <c r="C340">
        <f t="shared" si="19"/>
        <v>5</v>
      </c>
      <c r="D340">
        <f>VLOOKUP($C340,Profile!$B$5:$K$29,2,TRUE)</f>
        <v>0.61</v>
      </c>
      <c r="E340" s="37">
        <f>VLOOKUP($C340,Profile!$B$5:$K$29,7,TRUE)</f>
        <v>0.71499999999999997</v>
      </c>
      <c r="F340">
        <f t="shared" si="20"/>
        <v>8.7499999999999991E-3</v>
      </c>
      <c r="G340">
        <v>-3.4644620932625107E-3</v>
      </c>
      <c r="H340" s="37"/>
      <c r="I340">
        <v>4.3280724006898294E-2</v>
      </c>
      <c r="J340" s="38">
        <f>-VLOOKUP($C340,Profile!$B$5:$K$29,3,TRUE)*($G340+$I340)</f>
        <v>-2.7871383339545051</v>
      </c>
      <c r="K340" s="37"/>
      <c r="O340">
        <v>0</v>
      </c>
      <c r="P340" s="38">
        <f>VLOOKUP($C340,Profile!$B$5:$K$29,5,TRUE)*$O340</f>
        <v>0</v>
      </c>
      <c r="Q340">
        <f t="shared" si="18"/>
        <v>145.03538716385884</v>
      </c>
    </row>
    <row r="341" spans="1:17" x14ac:dyDescent="0.25">
      <c r="A341" s="1">
        <v>1.0069444444445601</v>
      </c>
      <c r="B341">
        <f t="shared" si="21"/>
        <v>1690</v>
      </c>
      <c r="C341">
        <f t="shared" si="19"/>
        <v>10</v>
      </c>
      <c r="D341">
        <f>VLOOKUP($C341,Profile!$B$5:$K$29,2,TRUE)</f>
        <v>0.61</v>
      </c>
      <c r="E341" s="37">
        <f>VLOOKUP($C341,Profile!$B$5:$K$29,7,TRUE)</f>
        <v>0.71499999999999997</v>
      </c>
      <c r="F341">
        <f t="shared" si="20"/>
        <v>8.7499999999999991E-3</v>
      </c>
      <c r="G341">
        <v>-3.4353970106247886E-3</v>
      </c>
      <c r="H341" s="37"/>
      <c r="I341">
        <v>3.8403762858798339E-2</v>
      </c>
      <c r="J341" s="38">
        <f>-VLOOKUP($C341,Profile!$B$5:$K$29,3,TRUE)*($G341+$I341)</f>
        <v>-2.4477856093721488</v>
      </c>
      <c r="K341" s="37"/>
      <c r="O341">
        <v>0</v>
      </c>
      <c r="P341" s="38">
        <f>VLOOKUP($C341,Profile!$B$5:$K$29,5,TRUE)*$O341</f>
        <v>0</v>
      </c>
      <c r="Q341">
        <f t="shared" si="18"/>
        <v>142.5876015544867</v>
      </c>
    </row>
    <row r="342" spans="1:17" x14ac:dyDescent="0.25">
      <c r="A342" s="1">
        <v>1.01041666666678</v>
      </c>
      <c r="B342">
        <f t="shared" si="21"/>
        <v>1695</v>
      </c>
      <c r="C342">
        <f t="shared" si="19"/>
        <v>15</v>
      </c>
      <c r="D342">
        <f>VLOOKUP($C342,Profile!$B$5:$K$29,2,TRUE)</f>
        <v>0.61</v>
      </c>
      <c r="E342" s="37">
        <f>VLOOKUP($C342,Profile!$B$5:$K$29,7,TRUE)</f>
        <v>0.71499999999999997</v>
      </c>
      <c r="F342">
        <f t="shared" si="20"/>
        <v>8.7499999999999991E-3</v>
      </c>
      <c r="G342">
        <v>-3.3489016373316259E-3</v>
      </c>
      <c r="H342" s="37"/>
      <c r="I342">
        <v>3.3722090029278805E-2</v>
      </c>
      <c r="J342" s="38">
        <f>-VLOOKUP($C342,Profile!$B$5:$K$29,3,TRUE)*($G342+$I342)</f>
        <v>-2.1261231874363027</v>
      </c>
      <c r="K342" s="37"/>
      <c r="O342">
        <v>0</v>
      </c>
      <c r="P342" s="38">
        <f>VLOOKUP($C342,Profile!$B$5:$K$29,5,TRUE)*$O342</f>
        <v>0</v>
      </c>
      <c r="Q342">
        <f t="shared" si="18"/>
        <v>140.4614783670504</v>
      </c>
    </row>
    <row r="343" spans="1:17" x14ac:dyDescent="0.25">
      <c r="A343" s="1">
        <v>1.0138888888889901</v>
      </c>
      <c r="B343">
        <f t="shared" si="21"/>
        <v>1700</v>
      </c>
      <c r="C343">
        <f t="shared" si="19"/>
        <v>20</v>
      </c>
      <c r="D343">
        <f>VLOOKUP($C343,Profile!$B$5:$K$29,2,TRUE)</f>
        <v>0.61</v>
      </c>
      <c r="E343" s="37">
        <f>VLOOKUP($C343,Profile!$B$5:$K$29,7,TRUE)</f>
        <v>0.71499999999999997</v>
      </c>
      <c r="F343">
        <f t="shared" si="20"/>
        <v>8.7499999999999991E-3</v>
      </c>
      <c r="G343">
        <v>-3.2118513687351951E-3</v>
      </c>
      <c r="H343" s="37"/>
      <c r="I343">
        <v>2.9234330445185086E-2</v>
      </c>
      <c r="J343" s="38">
        <f>-VLOOKUP($C343,Profile!$B$5:$K$29,3,TRUE)*($G343+$I343)</f>
        <v>-1.8215735353514924</v>
      </c>
      <c r="K343" s="37"/>
      <c r="O343">
        <v>0</v>
      </c>
      <c r="P343" s="38">
        <f>VLOOKUP($C343,Profile!$B$5:$K$29,5,TRUE)*$O343</f>
        <v>0</v>
      </c>
      <c r="Q343">
        <f t="shared" si="18"/>
        <v>138.63990483169891</v>
      </c>
    </row>
    <row r="344" spans="1:17" x14ac:dyDescent="0.25">
      <c r="A344" s="1">
        <v>1.01736111111122</v>
      </c>
      <c r="B344">
        <f t="shared" si="21"/>
        <v>1705</v>
      </c>
      <c r="C344">
        <f t="shared" si="19"/>
        <v>25</v>
      </c>
      <c r="D344">
        <f>VLOOKUP($C344,Profile!$B$5:$K$29,2,TRUE)</f>
        <v>0.61</v>
      </c>
      <c r="E344" s="37">
        <f>VLOOKUP($C344,Profile!$B$5:$K$29,7,TRUE)</f>
        <v>0.71499999999999997</v>
      </c>
      <c r="F344">
        <f t="shared" si="20"/>
        <v>8.7499999999999991E-3</v>
      </c>
      <c r="G344">
        <v>-3.0305529283297032E-3</v>
      </c>
      <c r="H344" s="37"/>
      <c r="I344">
        <v>2.4938581864815641E-2</v>
      </c>
      <c r="J344" s="38">
        <f>-VLOOKUP($C344,Profile!$B$5:$K$29,3,TRUE)*($G344+$I344)</f>
        <v>-1.5335620255540157</v>
      </c>
      <c r="K344" s="37"/>
      <c r="O344">
        <v>0</v>
      </c>
      <c r="P344" s="38">
        <f>VLOOKUP($C344,Profile!$B$5:$K$29,5,TRUE)*$O344</f>
        <v>0</v>
      </c>
      <c r="Q344">
        <f t="shared" si="18"/>
        <v>137.10634280614491</v>
      </c>
    </row>
    <row r="345" spans="1:17" x14ac:dyDescent="0.25">
      <c r="A345" s="1">
        <v>1.0208333333334401</v>
      </c>
      <c r="B345">
        <f t="shared" si="21"/>
        <v>1710</v>
      </c>
      <c r="C345">
        <f t="shared" si="19"/>
        <v>30</v>
      </c>
      <c r="D345">
        <f>VLOOKUP($C345,Profile!$B$5:$K$29,2,TRUE)</f>
        <v>0.61</v>
      </c>
      <c r="E345" s="37">
        <f>VLOOKUP($C345,Profile!$B$5:$K$29,7,TRUE)</f>
        <v>0.71499999999999997</v>
      </c>
      <c r="F345">
        <f t="shared" si="20"/>
        <v>8.7499999999999991E-3</v>
      </c>
      <c r="G345">
        <v>-2.8107842699426665E-3</v>
      </c>
      <c r="H345" s="37"/>
      <c r="I345">
        <v>2.0832475380698125E-2</v>
      </c>
      <c r="J345" s="38">
        <f>-VLOOKUP($C345,Profile!$B$5:$K$29,3,TRUE)*($G345+$I345)</f>
        <v>-1.2615183777528822</v>
      </c>
      <c r="K345" s="37"/>
      <c r="O345">
        <v>0</v>
      </c>
      <c r="P345" s="38">
        <f>VLOOKUP($C345,Profile!$B$5:$K$29,5,TRUE)*$O345</f>
        <v>0</v>
      </c>
      <c r="Q345">
        <f t="shared" si="18"/>
        <v>135.84482442839203</v>
      </c>
    </row>
    <row r="346" spans="1:17" x14ac:dyDescent="0.25">
      <c r="A346" s="1">
        <v>1.0243055555556599</v>
      </c>
      <c r="B346">
        <f t="shared" si="21"/>
        <v>1715</v>
      </c>
      <c r="C346">
        <f t="shared" si="19"/>
        <v>35</v>
      </c>
      <c r="D346">
        <f>VLOOKUP($C346,Profile!$B$5:$K$29,2,TRUE)</f>
        <v>0.61</v>
      </c>
      <c r="E346" s="37">
        <f>VLOOKUP($C346,Profile!$B$5:$K$29,7,TRUE)</f>
        <v>0.71499999999999997</v>
      </c>
      <c r="F346">
        <f t="shared" si="20"/>
        <v>8.7499999999999991E-3</v>
      </c>
      <c r="G346">
        <v>-2.5578319352616953E-3</v>
      </c>
      <c r="H346" s="37"/>
      <c r="I346">
        <v>1.6913231133582941E-2</v>
      </c>
      <c r="J346" s="38">
        <f>-VLOOKUP($C346,Profile!$B$5:$K$29,3,TRUE)*($G346+$I346)</f>
        <v>-1.0048779438824873</v>
      </c>
      <c r="K346" s="37"/>
      <c r="O346">
        <v>0</v>
      </c>
      <c r="P346" s="38">
        <f>VLOOKUP($C346,Profile!$B$5:$K$29,5,TRUE)*$O346</f>
        <v>0</v>
      </c>
      <c r="Q346">
        <f t="shared" si="18"/>
        <v>134.83994648450954</v>
      </c>
    </row>
    <row r="347" spans="1:17" x14ac:dyDescent="0.25">
      <c r="A347" s="1">
        <v>1.02777777777788</v>
      </c>
      <c r="B347">
        <f t="shared" si="21"/>
        <v>1720</v>
      </c>
      <c r="C347">
        <f t="shared" si="19"/>
        <v>40</v>
      </c>
      <c r="D347">
        <f>VLOOKUP($C347,Profile!$B$5:$K$29,2,TRUE)</f>
        <v>0.61</v>
      </c>
      <c r="E347" s="37">
        <f>VLOOKUP($C347,Profile!$B$5:$K$29,7,TRUE)</f>
        <v>0.71499999999999997</v>
      </c>
      <c r="F347">
        <f t="shared" si="20"/>
        <v>8.7499999999999991E-3</v>
      </c>
      <c r="G347">
        <v>-2.2765260190568499E-3</v>
      </c>
      <c r="H347" s="37"/>
      <c r="I347">
        <v>1.3177709562478459E-2</v>
      </c>
      <c r="J347" s="38">
        <f>-VLOOKUP($C347,Profile!$B$5:$K$29,3,TRUE)*($G347+$I347)</f>
        <v>-0.76308284803951254</v>
      </c>
      <c r="K347" s="37"/>
      <c r="O347">
        <v>0</v>
      </c>
      <c r="P347" s="38">
        <f>VLOOKUP($C347,Profile!$B$5:$K$29,5,TRUE)*$O347</f>
        <v>0</v>
      </c>
      <c r="Q347">
        <f t="shared" si="18"/>
        <v>134.07686363647002</v>
      </c>
    </row>
    <row r="348" spans="1:17" x14ac:dyDescent="0.25">
      <c r="A348" s="1">
        <v>1.0312500000000999</v>
      </c>
      <c r="B348">
        <f t="shared" si="21"/>
        <v>1725</v>
      </c>
      <c r="C348">
        <f t="shared" si="19"/>
        <v>45</v>
      </c>
      <c r="D348">
        <f>VLOOKUP($C348,Profile!$B$5:$K$29,2,TRUE)</f>
        <v>0.61</v>
      </c>
      <c r="E348" s="37">
        <f>VLOOKUP($C348,Profile!$B$5:$K$29,7,TRUE)</f>
        <v>0.71499999999999997</v>
      </c>
      <c r="F348">
        <f t="shared" si="20"/>
        <v>8.7499999999999991E-3</v>
      </c>
      <c r="G348">
        <v>-1.9712728857371577E-3</v>
      </c>
      <c r="H348" s="37"/>
      <c r="I348">
        <v>9.6224584953698809E-3</v>
      </c>
      <c r="J348" s="38">
        <f>-VLOOKUP($C348,Profile!$B$5:$K$29,3,TRUE)*($G348+$I348)</f>
        <v>-0.53558299267429066</v>
      </c>
      <c r="K348" s="37"/>
      <c r="O348">
        <v>0</v>
      </c>
      <c r="P348" s="38">
        <f>VLOOKUP($C348,Profile!$B$5:$K$29,5,TRUE)*$O348</f>
        <v>0</v>
      </c>
      <c r="Q348">
        <f t="shared" si="18"/>
        <v>133.54128064379574</v>
      </c>
    </row>
    <row r="349" spans="1:17" x14ac:dyDescent="0.25">
      <c r="A349" s="1">
        <v>1.03472222222232</v>
      </c>
      <c r="B349">
        <f t="shared" si="21"/>
        <v>1730</v>
      </c>
      <c r="C349">
        <f t="shared" si="19"/>
        <v>50</v>
      </c>
      <c r="D349">
        <f>VLOOKUP($C349,Profile!$B$5:$K$29,2,TRUE)</f>
        <v>0.61</v>
      </c>
      <c r="E349" s="37">
        <f>VLOOKUP($C349,Profile!$B$5:$K$29,7,TRUE)</f>
        <v>0.71499999999999997</v>
      </c>
      <c r="F349">
        <f t="shared" si="20"/>
        <v>8.7499999999999991E-3</v>
      </c>
      <c r="G349">
        <v>-1.6460857726411054E-3</v>
      </c>
      <c r="H349" s="37"/>
      <c r="I349">
        <v>6.2437563662637134E-3</v>
      </c>
      <c r="J349" s="38">
        <f>-VLOOKUP($C349,Profile!$B$5:$K$29,3,TRUE)*($G349+$I349)</f>
        <v>-0.32183694155358256</v>
      </c>
      <c r="K349" s="37"/>
      <c r="O349">
        <v>0</v>
      </c>
      <c r="P349" s="38">
        <f>VLOOKUP($C349,Profile!$B$5:$K$29,5,TRUE)*$O349</f>
        <v>0</v>
      </c>
      <c r="Q349">
        <f t="shared" si="18"/>
        <v>133.21944370224216</v>
      </c>
    </row>
    <row r="350" spans="1:17" x14ac:dyDescent="0.25">
      <c r="A350" s="1">
        <v>1.0381944444445299</v>
      </c>
      <c r="B350">
        <f t="shared" si="21"/>
        <v>1735</v>
      </c>
      <c r="C350">
        <f t="shared" si="19"/>
        <v>55</v>
      </c>
      <c r="D350">
        <f>VLOOKUP($C350,Profile!$B$5:$K$29,2,TRUE)</f>
        <v>0.61</v>
      </c>
      <c r="E350" s="37">
        <f>VLOOKUP($C350,Profile!$B$5:$K$29,7,TRUE)</f>
        <v>0.71499999999999997</v>
      </c>
      <c r="F350">
        <f t="shared" si="20"/>
        <v>8.7499999999999991E-3</v>
      </c>
      <c r="G350">
        <v>-1.3046134076787645E-3</v>
      </c>
      <c r="H350" s="37"/>
      <c r="I350">
        <v>3.0376518263192853E-3</v>
      </c>
      <c r="J350" s="38">
        <f>-VLOOKUP($C350,Profile!$B$5:$K$29,3,TRUE)*($G350+$I350)</f>
        <v>-0.12131268930483646</v>
      </c>
      <c r="K350" s="37"/>
      <c r="O350">
        <v>0</v>
      </c>
      <c r="P350" s="38">
        <f>VLOOKUP($C350,Profile!$B$5:$K$29,5,TRUE)*$O350</f>
        <v>0</v>
      </c>
      <c r="Q350">
        <f t="shared" si="18"/>
        <v>133.09813101293733</v>
      </c>
    </row>
    <row r="351" spans="1:17" x14ac:dyDescent="0.25">
      <c r="A351" s="1">
        <v>1.04166666666675</v>
      </c>
      <c r="B351">
        <f t="shared" si="21"/>
        <v>1740</v>
      </c>
      <c r="C351">
        <f t="shared" si="19"/>
        <v>60</v>
      </c>
      <c r="D351">
        <f>VLOOKUP($C351,Profile!$B$5:$K$29,2,TRUE)</f>
        <v>0.57999999999999996</v>
      </c>
      <c r="E351" s="37">
        <f>VLOOKUP($C351,Profile!$B$5:$K$29,7,TRUE)</f>
        <v>0.71499999999999997</v>
      </c>
      <c r="F351">
        <f t="shared" si="20"/>
        <v>1.1250000000000001E-2</v>
      </c>
      <c r="G351">
        <v>-9.5016676159309296E-4</v>
      </c>
      <c r="H351" s="37"/>
      <c r="I351">
        <v>0</v>
      </c>
      <c r="J351" s="38">
        <f>-VLOOKUP($C351,Profile!$B$5:$K$29,3,TRUE)*($G351+$I351)</f>
        <v>6.65116733115165E-2</v>
      </c>
      <c r="K351" s="37"/>
      <c r="O351">
        <v>0</v>
      </c>
      <c r="P351" s="38">
        <f>VLOOKUP($C351,Profile!$B$5:$K$29,5,TRUE)*$O351</f>
        <v>0</v>
      </c>
      <c r="Q351">
        <f t="shared" si="18"/>
        <v>133.16464268624884</v>
      </c>
    </row>
    <row r="352" spans="1:17" x14ac:dyDescent="0.25">
      <c r="A352" s="1">
        <v>1.0451388888889701</v>
      </c>
      <c r="B352">
        <f t="shared" si="21"/>
        <v>1745</v>
      </c>
      <c r="C352">
        <f t="shared" si="19"/>
        <v>65</v>
      </c>
      <c r="D352">
        <f>VLOOKUP($C352,Profile!$B$5:$K$29,2,TRUE)</f>
        <v>0.57999999999999996</v>
      </c>
      <c r="E352" s="37">
        <f>VLOOKUP($C352,Profile!$B$5:$K$29,7,TRUE)</f>
        <v>0.71499999999999997</v>
      </c>
      <c r="F352">
        <f t="shared" si="20"/>
        <v>1.1250000000000001E-2</v>
      </c>
      <c r="G352">
        <v>-5.7414222934486475E-4</v>
      </c>
      <c r="H352" s="37"/>
      <c r="I352">
        <v>0</v>
      </c>
      <c r="J352" s="38">
        <f>-VLOOKUP($C352,Profile!$B$5:$K$29,3,TRUE)*($G352+$I352)</f>
        <v>4.0189956054140531E-2</v>
      </c>
      <c r="K352" s="37"/>
      <c r="O352">
        <v>0</v>
      </c>
      <c r="P352" s="38">
        <f>VLOOKUP($C352,Profile!$B$5:$K$29,5,TRUE)*$O352</f>
        <v>0</v>
      </c>
      <c r="Q352">
        <f t="shared" si="18"/>
        <v>133.20483264230299</v>
      </c>
    </row>
    <row r="353" spans="1:17" x14ac:dyDescent="0.25">
      <c r="A353" s="1">
        <v>1.04861111111119</v>
      </c>
      <c r="B353">
        <f t="shared" si="21"/>
        <v>1750</v>
      </c>
      <c r="C353">
        <f t="shared" si="19"/>
        <v>70</v>
      </c>
      <c r="D353">
        <f>VLOOKUP($C353,Profile!$B$5:$K$29,2,TRUE)</f>
        <v>0.57999999999999996</v>
      </c>
      <c r="E353" s="37">
        <f>VLOOKUP($C353,Profile!$B$5:$K$29,7,TRUE)</f>
        <v>0.71499999999999997</v>
      </c>
      <c r="F353">
        <f t="shared" si="20"/>
        <v>1.1250000000000001E-2</v>
      </c>
      <c r="G353">
        <v>-1.8069077778676518E-4</v>
      </c>
      <c r="H353" s="37"/>
      <c r="I353">
        <v>0</v>
      </c>
      <c r="J353" s="38">
        <f>-VLOOKUP($C353,Profile!$B$5:$K$29,3,TRUE)*($G353+$I353)</f>
        <v>1.2648354445073562E-2</v>
      </c>
      <c r="K353" s="37"/>
      <c r="O353">
        <v>0</v>
      </c>
      <c r="P353" s="38">
        <f>VLOOKUP($C353,Profile!$B$5:$K$29,5,TRUE)*$O353</f>
        <v>0</v>
      </c>
      <c r="Q353">
        <f t="shared" si="18"/>
        <v>133.21748099674807</v>
      </c>
    </row>
    <row r="354" spans="1:17" x14ac:dyDescent="0.25">
      <c r="A354" s="1">
        <v>1.0520833333334101</v>
      </c>
      <c r="B354">
        <f t="shared" si="21"/>
        <v>1755</v>
      </c>
      <c r="C354">
        <f t="shared" si="19"/>
        <v>75</v>
      </c>
      <c r="D354">
        <f>VLOOKUP($C354,Profile!$B$5:$K$29,2,TRUE)</f>
        <v>0.57999999999999996</v>
      </c>
      <c r="E354" s="37">
        <f>VLOOKUP($C354,Profile!$B$5:$K$29,7,TRUE)</f>
        <v>0.71499999999999997</v>
      </c>
      <c r="F354">
        <f t="shared" si="20"/>
        <v>1.1250000000000001E-2</v>
      </c>
      <c r="G354">
        <v>2.2642652131798504E-4</v>
      </c>
      <c r="H354" s="37"/>
      <c r="I354">
        <v>0</v>
      </c>
      <c r="J354" s="38">
        <f>-VLOOKUP($C354,Profile!$B$5:$K$29,3,TRUE)*($G354+$I354)</f>
        <v>-1.5849856492258951E-2</v>
      </c>
      <c r="K354" s="37"/>
      <c r="O354">
        <v>0</v>
      </c>
      <c r="P354" s="38">
        <f>VLOOKUP($C354,Profile!$B$5:$K$29,5,TRUE)*$O354</f>
        <v>0</v>
      </c>
      <c r="Q354">
        <f t="shared" si="18"/>
        <v>133.20163114025581</v>
      </c>
    </row>
    <row r="355" spans="1:17" x14ac:dyDescent="0.25">
      <c r="A355" s="1">
        <v>1.05555555555563</v>
      </c>
      <c r="B355">
        <f t="shared" si="21"/>
        <v>1760</v>
      </c>
      <c r="C355">
        <f t="shared" si="19"/>
        <v>80</v>
      </c>
      <c r="D355">
        <f>VLOOKUP($C355,Profile!$B$5:$K$29,2,TRUE)</f>
        <v>0.57999999999999996</v>
      </c>
      <c r="E355" s="37">
        <f>VLOOKUP($C355,Profile!$B$5:$K$29,7,TRUE)</f>
        <v>0.71499999999999997</v>
      </c>
      <c r="F355">
        <f t="shared" si="20"/>
        <v>1.1250000000000001E-2</v>
      </c>
      <c r="G355">
        <v>6.438094038576555E-4</v>
      </c>
      <c r="H355" s="37"/>
      <c r="I355">
        <v>0</v>
      </c>
      <c r="J355" s="38">
        <f>-VLOOKUP($C355,Profile!$B$5:$K$29,3,TRUE)*($G355+$I355)</f>
        <v>-4.5066658270035885E-2</v>
      </c>
      <c r="K355" s="37"/>
      <c r="O355">
        <v>0</v>
      </c>
      <c r="P355" s="38">
        <f>VLOOKUP($C355,Profile!$B$5:$K$29,5,TRUE)*$O355</f>
        <v>0</v>
      </c>
      <c r="Q355">
        <f t="shared" si="18"/>
        <v>133.15656448198578</v>
      </c>
    </row>
    <row r="356" spans="1:17" x14ac:dyDescent="0.25">
      <c r="A356" s="1">
        <v>1.0590277777778501</v>
      </c>
      <c r="B356">
        <f t="shared" si="21"/>
        <v>1765</v>
      </c>
      <c r="C356">
        <f t="shared" si="19"/>
        <v>85</v>
      </c>
      <c r="D356">
        <f>VLOOKUP($C356,Profile!$B$5:$K$29,2,TRUE)</f>
        <v>0.57999999999999996</v>
      </c>
      <c r="E356" s="37">
        <f>VLOOKUP($C356,Profile!$B$5:$K$29,7,TRUE)</f>
        <v>0.71499999999999997</v>
      </c>
      <c r="F356">
        <f t="shared" si="20"/>
        <v>1.1250000000000001E-2</v>
      </c>
      <c r="G356">
        <v>1.0683912499247601E-3</v>
      </c>
      <c r="H356" s="37"/>
      <c r="I356">
        <v>0</v>
      </c>
      <c r="J356" s="38">
        <f>-VLOOKUP($C356,Profile!$B$5:$K$29,3,TRUE)*($G356+$I356)</f>
        <v>-7.478738749473321E-2</v>
      </c>
      <c r="K356" s="37"/>
      <c r="O356">
        <v>0</v>
      </c>
      <c r="P356" s="38">
        <f>VLOOKUP($C356,Profile!$B$5:$K$29,5,TRUE)*$O356</f>
        <v>0</v>
      </c>
      <c r="Q356">
        <f t="shared" si="18"/>
        <v>133.08177709449106</v>
      </c>
    </row>
    <row r="357" spans="1:17" x14ac:dyDescent="0.25">
      <c r="A357" s="1">
        <v>1.0625000000000699</v>
      </c>
      <c r="B357">
        <f t="shared" si="21"/>
        <v>1770</v>
      </c>
      <c r="C357">
        <f t="shared" si="19"/>
        <v>90</v>
      </c>
      <c r="D357">
        <f>VLOOKUP($C357,Profile!$B$5:$K$29,2,TRUE)</f>
        <v>0.57999999999999996</v>
      </c>
      <c r="E357" s="37">
        <f>VLOOKUP($C357,Profile!$B$5:$K$29,7,TRUE)</f>
        <v>0.71499999999999997</v>
      </c>
      <c r="F357">
        <f t="shared" si="20"/>
        <v>1.1250000000000001E-2</v>
      </c>
      <c r="G357">
        <v>1.497413726318808E-3</v>
      </c>
      <c r="H357" s="37"/>
      <c r="I357">
        <v>0</v>
      </c>
      <c r="J357" s="38">
        <f>-VLOOKUP($C357,Profile!$B$5:$K$29,3,TRUE)*($G357+$I357)</f>
        <v>-0.10481896084231657</v>
      </c>
      <c r="K357" s="37"/>
      <c r="O357">
        <v>0</v>
      </c>
      <c r="P357" s="38">
        <f>VLOOKUP($C357,Profile!$B$5:$K$29,5,TRUE)*$O357</f>
        <v>0</v>
      </c>
      <c r="Q357">
        <f t="shared" ref="Q357:Q387" si="22">+Q356+$J357+$P357</f>
        <v>132.97695813364874</v>
      </c>
    </row>
    <row r="358" spans="1:17" x14ac:dyDescent="0.25">
      <c r="A358" s="1">
        <v>1.06597222222229</v>
      </c>
      <c r="B358">
        <f t="shared" si="21"/>
        <v>1775</v>
      </c>
      <c r="C358">
        <f t="shared" si="19"/>
        <v>95</v>
      </c>
      <c r="D358">
        <f>VLOOKUP($C358,Profile!$B$5:$K$29,2,TRUE)</f>
        <v>0.57999999999999996</v>
      </c>
      <c r="E358" s="37">
        <f>VLOOKUP($C358,Profile!$B$5:$K$29,7,TRUE)</f>
        <v>0.71499999999999997</v>
      </c>
      <c r="F358">
        <f t="shared" si="20"/>
        <v>1.1250000000000001E-2</v>
      </c>
      <c r="G358">
        <v>1.9284031238344019E-3</v>
      </c>
      <c r="H358" s="37"/>
      <c r="I358">
        <v>0</v>
      </c>
      <c r="J358" s="38">
        <f>-VLOOKUP($C358,Profile!$B$5:$K$29,3,TRUE)*($G358+$I358)</f>
        <v>-0.13498821866840813</v>
      </c>
      <c r="K358" s="37"/>
      <c r="O358">
        <v>0</v>
      </c>
      <c r="P358" s="38">
        <f>VLOOKUP($C358,Profile!$B$5:$K$29,5,TRUE)*$O358</f>
        <v>0</v>
      </c>
      <c r="Q358">
        <f t="shared" si="22"/>
        <v>132.84196991498033</v>
      </c>
    </row>
    <row r="359" spans="1:17" x14ac:dyDescent="0.25">
      <c r="A359" s="1">
        <v>1.0694444444445099</v>
      </c>
      <c r="B359">
        <f t="shared" si="21"/>
        <v>1780</v>
      </c>
      <c r="C359">
        <f t="shared" si="19"/>
        <v>100</v>
      </c>
      <c r="D359">
        <f>VLOOKUP($C359,Profile!$B$5:$K$29,2,TRUE)</f>
        <v>0.57999999999999996</v>
      </c>
      <c r="E359" s="37">
        <f>VLOOKUP($C359,Profile!$B$5:$K$29,7,TRUE)</f>
        <v>0.71499999999999997</v>
      </c>
      <c r="F359">
        <f t="shared" si="20"/>
        <v>1.1250000000000001E-2</v>
      </c>
      <c r="G359">
        <v>2.3591482846605405E-3</v>
      </c>
      <c r="H359" s="37"/>
      <c r="I359">
        <v>0</v>
      </c>
      <c r="J359" s="38">
        <f>-VLOOKUP($C359,Profile!$B$5:$K$29,3,TRUE)*($G359+$I359)</f>
        <v>-0.16514037992623784</v>
      </c>
      <c r="K359" s="37"/>
      <c r="O359">
        <v>0</v>
      </c>
      <c r="P359" s="38">
        <f>VLOOKUP($C359,Profile!$B$5:$K$29,5,TRUE)*$O359</f>
        <v>0</v>
      </c>
      <c r="Q359">
        <f t="shared" si="22"/>
        <v>132.67682953505408</v>
      </c>
    </row>
    <row r="360" spans="1:17" x14ac:dyDescent="0.25">
      <c r="A360" s="1">
        <v>1.07291666666673</v>
      </c>
      <c r="B360">
        <f t="shared" si="21"/>
        <v>1785</v>
      </c>
      <c r="C360">
        <f t="shared" si="19"/>
        <v>105</v>
      </c>
      <c r="D360">
        <f>VLOOKUP($C360,Profile!$B$5:$K$29,2,TRUE)</f>
        <v>0.57999999999999996</v>
      </c>
      <c r="E360" s="37">
        <f>VLOOKUP($C360,Profile!$B$5:$K$29,7,TRUE)</f>
        <v>0.71499999999999997</v>
      </c>
      <c r="F360">
        <f t="shared" si="20"/>
        <v>1.1250000000000001E-2</v>
      </c>
      <c r="G360">
        <v>2.7876800213428627E-3</v>
      </c>
      <c r="H360" s="37"/>
      <c r="I360">
        <v>0</v>
      </c>
      <c r="J360" s="38">
        <f>-VLOOKUP($C360,Profile!$B$5:$K$29,3,TRUE)*($G360+$I360)</f>
        <v>-0.19513760149400039</v>
      </c>
      <c r="K360" s="37"/>
      <c r="O360">
        <v>0</v>
      </c>
      <c r="P360" s="38">
        <f>VLOOKUP($C360,Profile!$B$5:$K$29,5,TRUE)*$O360</f>
        <v>0</v>
      </c>
      <c r="Q360">
        <f t="shared" si="22"/>
        <v>132.48169193356009</v>
      </c>
    </row>
    <row r="361" spans="1:17" x14ac:dyDescent="0.25">
      <c r="A361" s="1">
        <v>1.0763888888889499</v>
      </c>
      <c r="B361">
        <f t="shared" si="21"/>
        <v>1790</v>
      </c>
      <c r="C361">
        <f t="shared" si="19"/>
        <v>110</v>
      </c>
      <c r="D361">
        <f>VLOOKUP($C361,Profile!$B$5:$K$29,2,TRUE)</f>
        <v>0.57999999999999996</v>
      </c>
      <c r="E361" s="37">
        <f>VLOOKUP($C361,Profile!$B$5:$K$29,7,TRUE)</f>
        <v>0.71499999999999997</v>
      </c>
      <c r="F361">
        <f t="shared" si="20"/>
        <v>1.1250000000000001E-2</v>
      </c>
      <c r="G361">
        <v>3.2122519345417831E-3</v>
      </c>
      <c r="H361" s="37"/>
      <c r="I361">
        <v>0</v>
      </c>
      <c r="J361" s="38">
        <f>-VLOOKUP($C361,Profile!$B$5:$K$29,3,TRUE)*($G361+$I361)</f>
        <v>-0.22485763541792481</v>
      </c>
      <c r="K361" s="37"/>
      <c r="O361">
        <v>0</v>
      </c>
      <c r="P361" s="38">
        <f>VLOOKUP($C361,Profile!$B$5:$K$29,5,TRUE)*$O361</f>
        <v>0</v>
      </c>
      <c r="Q361">
        <f t="shared" si="22"/>
        <v>132.25683429814217</v>
      </c>
    </row>
    <row r="362" spans="1:17" x14ac:dyDescent="0.25">
      <c r="A362" s="1">
        <v>1.07986111111117</v>
      </c>
      <c r="B362">
        <f t="shared" si="21"/>
        <v>1795</v>
      </c>
      <c r="C362">
        <f t="shared" si="19"/>
        <v>115</v>
      </c>
      <c r="D362">
        <f>VLOOKUP($C362,Profile!$B$5:$K$29,2,TRUE)</f>
        <v>0.57999999999999996</v>
      </c>
      <c r="E362" s="37">
        <f>VLOOKUP($C362,Profile!$B$5:$K$29,7,TRUE)</f>
        <v>0.71499999999999997</v>
      </c>
      <c r="F362">
        <f t="shared" si="20"/>
        <v>1.1250000000000001E-2</v>
      </c>
      <c r="G362">
        <v>3.6313225422747795E-3</v>
      </c>
      <c r="H362" s="37"/>
      <c r="I362">
        <v>0</v>
      </c>
      <c r="J362" s="38">
        <f>-VLOOKUP($C362,Profile!$B$5:$K$29,3,TRUE)*($G362+$I362)</f>
        <v>-0.25419257795923456</v>
      </c>
      <c r="K362" s="37"/>
      <c r="O362">
        <v>0</v>
      </c>
      <c r="P362" s="38">
        <f>VLOOKUP($C362,Profile!$B$5:$K$29,5,TRUE)*$O362</f>
        <v>0</v>
      </c>
      <c r="Q362">
        <f t="shared" si="22"/>
        <v>132.00264172018294</v>
      </c>
    </row>
    <row r="363" spans="1:17" x14ac:dyDescent="0.25">
      <c r="A363" s="1">
        <v>1.0833333333333901</v>
      </c>
      <c r="B363">
        <f t="shared" si="21"/>
        <v>1800</v>
      </c>
      <c r="C363">
        <f t="shared" si="19"/>
        <v>120</v>
      </c>
      <c r="D363">
        <f>VLOOKUP($C363,Profile!$B$5:$K$29,2,TRUE)</f>
        <v>0.68</v>
      </c>
      <c r="E363" s="37">
        <f>VLOOKUP($C363,Profile!$B$5:$K$29,7,TRUE)</f>
        <v>0.71499999999999997</v>
      </c>
      <c r="F363">
        <f t="shared" si="20"/>
        <v>2.9166666666666599E-3</v>
      </c>
      <c r="G363">
        <v>4.0435386384783589E-3</v>
      </c>
      <c r="H363" s="37"/>
      <c r="I363">
        <v>0</v>
      </c>
      <c r="J363" s="38">
        <f>-VLOOKUP($C363,Profile!$B$5:$K$29,3,TRUE)*($G363+$I363)</f>
        <v>-0.28304770469348511</v>
      </c>
      <c r="K363" s="37"/>
      <c r="O363">
        <v>0</v>
      </c>
      <c r="P363" s="38">
        <f>VLOOKUP($C363,Profile!$B$5:$K$29,5,TRUE)*$O363</f>
        <v>0</v>
      </c>
      <c r="Q363">
        <f t="shared" si="22"/>
        <v>131.71959401548946</v>
      </c>
    </row>
    <row r="364" spans="1:17" x14ac:dyDescent="0.25">
      <c r="A364" s="1">
        <v>1.08680555555561</v>
      </c>
      <c r="B364">
        <f t="shared" si="21"/>
        <v>1805</v>
      </c>
      <c r="C364">
        <f t="shared" si="19"/>
        <v>125</v>
      </c>
      <c r="D364">
        <f>VLOOKUP($C364,Profile!$B$5:$K$29,2,TRUE)</f>
        <v>0.68</v>
      </c>
      <c r="E364" s="37">
        <f>VLOOKUP($C364,Profile!$B$5:$K$29,7,TRUE)</f>
        <v>0.71499999999999997</v>
      </c>
      <c r="F364">
        <f t="shared" si="20"/>
        <v>2.9166666666666599E-3</v>
      </c>
      <c r="G364">
        <v>4.4060538404480532E-3</v>
      </c>
      <c r="H364" s="37"/>
      <c r="I364">
        <v>0</v>
      </c>
      <c r="J364" s="38">
        <f>-VLOOKUP($C364,Profile!$B$5:$K$29,3,TRUE)*($G364+$I364)</f>
        <v>-0.30842376883136374</v>
      </c>
      <c r="K364" s="37"/>
      <c r="O364">
        <v>0</v>
      </c>
      <c r="P364" s="38">
        <f>VLOOKUP($C364,Profile!$B$5:$K$29,5,TRUE)*$O364</f>
        <v>0</v>
      </c>
      <c r="Q364">
        <f t="shared" si="22"/>
        <v>131.41117024665809</v>
      </c>
    </row>
    <row r="365" spans="1:17" x14ac:dyDescent="0.25">
      <c r="A365" s="1">
        <v>1.0902777777778301</v>
      </c>
      <c r="B365">
        <f t="shared" si="21"/>
        <v>1810</v>
      </c>
      <c r="C365">
        <f t="shared" si="19"/>
        <v>130</v>
      </c>
      <c r="D365">
        <f>VLOOKUP($C365,Profile!$B$5:$K$29,2,TRUE)</f>
        <v>0.68</v>
      </c>
      <c r="E365" s="37">
        <f>VLOOKUP($C365,Profile!$B$5:$K$29,7,TRUE)</f>
        <v>0.71499999999999997</v>
      </c>
      <c r="F365">
        <f t="shared" si="20"/>
        <v>2.9166666666666599E-3</v>
      </c>
      <c r="G365">
        <v>4.7228196553501991E-3</v>
      </c>
      <c r="H365" s="37"/>
      <c r="I365">
        <v>0</v>
      </c>
      <c r="J365" s="38">
        <f>-VLOOKUP($C365,Profile!$B$5:$K$29,3,TRUE)*($G365+$I365)</f>
        <v>-0.33059737587451393</v>
      </c>
      <c r="K365" s="37"/>
      <c r="O365">
        <v>0</v>
      </c>
      <c r="P365" s="38">
        <f>VLOOKUP($C365,Profile!$B$5:$K$29,5,TRUE)*$O365</f>
        <v>0</v>
      </c>
      <c r="Q365">
        <f t="shared" si="22"/>
        <v>131.08057287078358</v>
      </c>
    </row>
    <row r="366" spans="1:17" x14ac:dyDescent="0.25">
      <c r="A366" s="1">
        <v>1.09375000000005</v>
      </c>
      <c r="B366">
        <f t="shared" si="21"/>
        <v>1815</v>
      </c>
      <c r="C366">
        <f t="shared" si="19"/>
        <v>135</v>
      </c>
      <c r="D366">
        <f>VLOOKUP($C366,Profile!$B$5:$K$29,2,TRUE)</f>
        <v>0.68</v>
      </c>
      <c r="E366" s="37">
        <f>VLOOKUP($C366,Profile!$B$5:$K$29,7,TRUE)</f>
        <v>0.71499999999999997</v>
      </c>
      <c r="F366">
        <f t="shared" si="20"/>
        <v>2.9166666666666599E-3</v>
      </c>
      <c r="G366">
        <v>4.9975201627414541E-3</v>
      </c>
      <c r="H366" s="37"/>
      <c r="I366">
        <v>0</v>
      </c>
      <c r="J366" s="38">
        <f>-VLOOKUP($C366,Profile!$B$5:$K$29,3,TRUE)*($G366+$I366)</f>
        <v>-0.34982641139190179</v>
      </c>
      <c r="K366" s="37"/>
      <c r="O366">
        <v>0</v>
      </c>
      <c r="P366" s="38">
        <f>VLOOKUP($C366,Profile!$B$5:$K$29,5,TRUE)*$O366</f>
        <v>0</v>
      </c>
      <c r="Q366">
        <f t="shared" si="22"/>
        <v>130.7307464593917</v>
      </c>
    </row>
    <row r="367" spans="1:17" x14ac:dyDescent="0.25">
      <c r="A367" s="1">
        <v>1.0972222222222701</v>
      </c>
      <c r="B367">
        <f t="shared" si="21"/>
        <v>1820</v>
      </c>
      <c r="C367">
        <f t="shared" si="19"/>
        <v>140</v>
      </c>
      <c r="D367">
        <f>VLOOKUP($C367,Profile!$B$5:$K$29,2,TRUE)</f>
        <v>0.68</v>
      </c>
      <c r="E367" s="37">
        <f>VLOOKUP($C367,Profile!$B$5:$K$29,7,TRUE)</f>
        <v>0.71499999999999997</v>
      </c>
      <c r="F367">
        <f t="shared" si="20"/>
        <v>2.9166666666666599E-3</v>
      </c>
      <c r="G367">
        <v>5.2335885716471705E-3</v>
      </c>
      <c r="H367" s="37"/>
      <c r="I367">
        <v>0</v>
      </c>
      <c r="J367" s="38">
        <f>-VLOOKUP($C367,Profile!$B$5:$K$29,3,TRUE)*($G367+$I367)</f>
        <v>-0.36635120001530191</v>
      </c>
      <c r="K367" s="37"/>
      <c r="O367">
        <v>0</v>
      </c>
      <c r="P367" s="38">
        <f>VLOOKUP($C367,Profile!$B$5:$K$29,5,TRUE)*$O367</f>
        <v>0</v>
      </c>
      <c r="Q367">
        <f t="shared" si="22"/>
        <v>130.36439525937641</v>
      </c>
    </row>
    <row r="368" spans="1:17" x14ac:dyDescent="0.25">
      <c r="A368" s="1">
        <v>1.1006944444444899</v>
      </c>
      <c r="B368">
        <f t="shared" si="21"/>
        <v>1825</v>
      </c>
      <c r="C368">
        <f t="shared" si="19"/>
        <v>145</v>
      </c>
      <c r="D368">
        <f>VLOOKUP($C368,Profile!$B$5:$K$29,2,TRUE)</f>
        <v>0.68</v>
      </c>
      <c r="E368" s="37">
        <f>VLOOKUP($C368,Profile!$B$5:$K$29,7,TRUE)</f>
        <v>0.71499999999999997</v>
      </c>
      <c r="F368">
        <f t="shared" si="20"/>
        <v>2.9166666666666599E-3</v>
      </c>
      <c r="G368">
        <v>5.434222809867266E-3</v>
      </c>
      <c r="H368" s="37"/>
      <c r="I368">
        <v>0</v>
      </c>
      <c r="J368" s="38">
        <f>-VLOOKUP($C368,Profile!$B$5:$K$29,3,TRUE)*($G368+$I368)</f>
        <v>-0.3803955966907086</v>
      </c>
      <c r="K368" s="37"/>
      <c r="O368">
        <v>0</v>
      </c>
      <c r="P368" s="38">
        <f>VLOOKUP($C368,Profile!$B$5:$K$29,5,TRUE)*$O368</f>
        <v>0</v>
      </c>
      <c r="Q368">
        <f t="shared" si="22"/>
        <v>129.9839996626857</v>
      </c>
    </row>
    <row r="369" spans="1:17" x14ac:dyDescent="0.25">
      <c r="A369" s="1">
        <v>1.10416666666671</v>
      </c>
      <c r="B369">
        <f t="shared" si="21"/>
        <v>1830</v>
      </c>
      <c r="C369">
        <f t="shared" si="19"/>
        <v>150</v>
      </c>
      <c r="D369">
        <f>VLOOKUP($C369,Profile!$B$5:$K$29,2,TRUE)</f>
        <v>0.68</v>
      </c>
      <c r="E369" s="37">
        <f>VLOOKUP($C369,Profile!$B$5:$K$29,7,TRUE)</f>
        <v>0.71499999999999997</v>
      </c>
      <c r="F369">
        <f t="shared" si="20"/>
        <v>2.9166666666666599E-3</v>
      </c>
      <c r="G369">
        <v>5.602400199823371E-3</v>
      </c>
      <c r="H369" s="37"/>
      <c r="I369">
        <v>0</v>
      </c>
      <c r="J369" s="38">
        <f>-VLOOKUP($C369,Profile!$B$5:$K$29,3,TRUE)*($G369+$I369)</f>
        <v>-0.39216801398763595</v>
      </c>
      <c r="K369" s="37"/>
      <c r="O369">
        <v>0</v>
      </c>
      <c r="P369" s="38">
        <f>VLOOKUP($C369,Profile!$B$5:$K$29,5,TRUE)*$O369</f>
        <v>0</v>
      </c>
      <c r="Q369">
        <f t="shared" si="22"/>
        <v>129.59183164869808</v>
      </c>
    </row>
    <row r="370" spans="1:17" x14ac:dyDescent="0.25">
      <c r="A370" s="1">
        <v>1.1076388888889299</v>
      </c>
      <c r="B370">
        <f t="shared" si="21"/>
        <v>1835</v>
      </c>
      <c r="C370">
        <f t="shared" si="19"/>
        <v>155</v>
      </c>
      <c r="D370">
        <f>VLOOKUP($C370,Profile!$B$5:$K$29,2,TRUE)</f>
        <v>0.68</v>
      </c>
      <c r="E370" s="37">
        <f>VLOOKUP($C370,Profile!$B$5:$K$29,7,TRUE)</f>
        <v>0.71499999999999997</v>
      </c>
      <c r="F370">
        <f t="shared" si="20"/>
        <v>2.9166666666666599E-3</v>
      </c>
      <c r="G370">
        <v>5.7408912723041147E-3</v>
      </c>
      <c r="H370" s="37"/>
      <c r="I370">
        <v>0</v>
      </c>
      <c r="J370" s="38">
        <f>-VLOOKUP($C370,Profile!$B$5:$K$29,3,TRUE)*($G370+$I370)</f>
        <v>-0.40186238906128802</v>
      </c>
      <c r="K370" s="37"/>
      <c r="O370">
        <v>0</v>
      </c>
      <c r="P370" s="38">
        <f>VLOOKUP($C370,Profile!$B$5:$K$29,5,TRUE)*$O370</f>
        <v>0</v>
      </c>
      <c r="Q370">
        <f t="shared" si="22"/>
        <v>129.1899692596368</v>
      </c>
    </row>
    <row r="371" spans="1:17" x14ac:dyDescent="0.25">
      <c r="A371" s="1">
        <v>1.11111111111115</v>
      </c>
      <c r="B371">
        <f t="shared" si="21"/>
        <v>1840</v>
      </c>
      <c r="C371">
        <f t="shared" si="19"/>
        <v>160</v>
      </c>
      <c r="D371">
        <f>VLOOKUP($C371,Profile!$B$5:$K$29,2,TRUE)</f>
        <v>0.68</v>
      </c>
      <c r="E371" s="37">
        <f>VLOOKUP($C371,Profile!$B$5:$K$29,7,TRUE)</f>
        <v>0.71499999999999997</v>
      </c>
      <c r="F371">
        <f t="shared" si="20"/>
        <v>2.9166666666666599E-3</v>
      </c>
      <c r="G371">
        <v>5.8522727666657816E-3</v>
      </c>
      <c r="H371" s="37"/>
      <c r="I371">
        <v>0</v>
      </c>
      <c r="J371" s="38">
        <f>-VLOOKUP($C371,Profile!$B$5:$K$29,3,TRUE)*($G371+$I371)</f>
        <v>-0.40965909366660469</v>
      </c>
      <c r="K371" s="37"/>
      <c r="O371">
        <v>0</v>
      </c>
      <c r="P371" s="38">
        <f>VLOOKUP($C371,Profile!$B$5:$K$29,5,TRUE)*$O371</f>
        <v>0</v>
      </c>
      <c r="Q371">
        <f t="shared" si="22"/>
        <v>128.78031016597021</v>
      </c>
    </row>
    <row r="372" spans="1:17" x14ac:dyDescent="0.25">
      <c r="A372" s="1">
        <v>1.1145833333333699</v>
      </c>
      <c r="B372">
        <f t="shared" si="21"/>
        <v>1845</v>
      </c>
      <c r="C372">
        <f t="shared" si="19"/>
        <v>165</v>
      </c>
      <c r="D372">
        <f>VLOOKUP($C372,Profile!$B$5:$K$29,2,TRUE)</f>
        <v>0.68</v>
      </c>
      <c r="E372" s="37">
        <f>VLOOKUP($C372,Profile!$B$5:$K$29,7,TRUE)</f>
        <v>0.71499999999999997</v>
      </c>
      <c r="F372">
        <f t="shared" si="20"/>
        <v>2.9166666666666599E-3</v>
      </c>
      <c r="G372">
        <v>5.9389398633948572E-3</v>
      </c>
      <c r="H372" s="37"/>
      <c r="I372">
        <v>0</v>
      </c>
      <c r="J372" s="38">
        <f>-VLOOKUP($C372,Profile!$B$5:$K$29,3,TRUE)*($G372+$I372)</f>
        <v>-0.41572579043764002</v>
      </c>
      <c r="K372" s="37"/>
      <c r="O372">
        <v>0</v>
      </c>
      <c r="P372" s="38">
        <f>VLOOKUP($C372,Profile!$B$5:$K$29,5,TRUE)*$O372</f>
        <v>0</v>
      </c>
      <c r="Q372">
        <f t="shared" si="22"/>
        <v>128.36458437553256</v>
      </c>
    </row>
    <row r="373" spans="1:17" x14ac:dyDescent="0.25">
      <c r="A373" s="1">
        <v>1.11805555555559</v>
      </c>
      <c r="B373">
        <f t="shared" si="21"/>
        <v>1850</v>
      </c>
      <c r="C373">
        <f t="shared" si="19"/>
        <v>170</v>
      </c>
      <c r="D373">
        <f>VLOOKUP($C373,Profile!$B$5:$K$29,2,TRUE)</f>
        <v>0.68</v>
      </c>
      <c r="E373" s="37">
        <f>VLOOKUP($C373,Profile!$B$5:$K$29,7,TRUE)</f>
        <v>0.71499999999999997</v>
      </c>
      <c r="F373">
        <f t="shared" si="20"/>
        <v>2.9166666666666599E-3</v>
      </c>
      <c r="G373">
        <v>6.0031176924295465E-3</v>
      </c>
      <c r="H373" s="37"/>
      <c r="I373">
        <v>0</v>
      </c>
      <c r="J373" s="38">
        <f>-VLOOKUP($C373,Profile!$B$5:$K$29,3,TRUE)*($G373+$I373)</f>
        <v>-0.42021823847006823</v>
      </c>
      <c r="K373" s="37"/>
      <c r="O373">
        <v>0</v>
      </c>
      <c r="P373" s="38">
        <f>VLOOKUP($C373,Profile!$B$5:$K$29,5,TRUE)*$O373</f>
        <v>0</v>
      </c>
      <c r="Q373">
        <f t="shared" si="22"/>
        <v>127.94436613706249</v>
      </c>
    </row>
    <row r="374" spans="1:17" x14ac:dyDescent="0.25">
      <c r="A374" s="1">
        <v>1.1215277777778101</v>
      </c>
      <c r="B374">
        <f t="shared" si="21"/>
        <v>1855</v>
      </c>
      <c r="C374">
        <f t="shared" si="19"/>
        <v>175</v>
      </c>
      <c r="D374">
        <f>VLOOKUP($C374,Profile!$B$5:$K$29,2,TRUE)</f>
        <v>0.68</v>
      </c>
      <c r="E374" s="37">
        <f>VLOOKUP($C374,Profile!$B$5:$K$29,7,TRUE)</f>
        <v>0.71499999999999997</v>
      </c>
      <c r="F374">
        <f t="shared" si="20"/>
        <v>2.9166666666666599E-3</v>
      </c>
      <c r="G374">
        <v>6.0468721582617353E-3</v>
      </c>
      <c r="H374" s="37"/>
      <c r="I374">
        <v>0</v>
      </c>
      <c r="J374" s="38">
        <f>-VLOOKUP($C374,Profile!$B$5:$K$29,3,TRUE)*($G374+$I374)</f>
        <v>-0.42328105107832148</v>
      </c>
      <c r="K374" s="37"/>
      <c r="O374">
        <v>0</v>
      </c>
      <c r="P374" s="38">
        <f>VLOOKUP($C374,Profile!$B$5:$K$29,5,TRUE)*$O374</f>
        <v>0</v>
      </c>
      <c r="Q374">
        <f t="shared" si="22"/>
        <v>127.52108508598417</v>
      </c>
    </row>
    <row r="375" spans="1:17" x14ac:dyDescent="0.25">
      <c r="A375" s="1">
        <v>1.12500000000003</v>
      </c>
      <c r="B375">
        <f t="shared" si="21"/>
        <v>1860</v>
      </c>
      <c r="C375">
        <f t="shared" si="19"/>
        <v>180</v>
      </c>
      <c r="D375">
        <f>VLOOKUP($C375,Profile!$B$5:$K$29,2,TRUE)</f>
        <v>0.77</v>
      </c>
      <c r="E375" s="37">
        <f>VLOOKUP($C375,Profile!$B$5:$K$29,7,TRUE)</f>
        <v>0.71499999999999997</v>
      </c>
      <c r="F375">
        <f t="shared" si="20"/>
        <v>-4.5833333333333377E-3</v>
      </c>
      <c r="G375">
        <v>6.0721201205921112E-3</v>
      </c>
      <c r="H375" s="37"/>
      <c r="I375">
        <v>0</v>
      </c>
      <c r="J375" s="38">
        <f>-VLOOKUP($C375,Profile!$B$5:$K$29,3,TRUE)*($G375+$I375)</f>
        <v>-0.42504840844144781</v>
      </c>
      <c r="K375" s="37"/>
      <c r="O375">
        <v>0</v>
      </c>
      <c r="P375" s="38">
        <f>VLOOKUP($C375,Profile!$B$5:$K$29,5,TRUE)*$O375</f>
        <v>0</v>
      </c>
      <c r="Q375">
        <f t="shared" si="22"/>
        <v>127.09603667754273</v>
      </c>
    </row>
    <row r="376" spans="1:17" x14ac:dyDescent="0.25">
      <c r="A376" s="1">
        <v>1.1284722222222501</v>
      </c>
      <c r="B376">
        <f t="shared" si="21"/>
        <v>1865</v>
      </c>
      <c r="C376">
        <f t="shared" si="19"/>
        <v>185</v>
      </c>
      <c r="D376">
        <f>VLOOKUP($C376,Profile!$B$5:$K$29,2,TRUE)</f>
        <v>0.77</v>
      </c>
      <c r="E376" s="37">
        <f>VLOOKUP($C376,Profile!$B$5:$K$29,7,TRUE)</f>
        <v>0.71499999999999997</v>
      </c>
      <c r="F376">
        <f t="shared" si="20"/>
        <v>-4.5833333333333377E-3</v>
      </c>
      <c r="G376">
        <v>6.0425409536171348E-3</v>
      </c>
      <c r="H376" s="37"/>
      <c r="I376">
        <v>0</v>
      </c>
      <c r="J376" s="38">
        <f>-VLOOKUP($C376,Profile!$B$5:$K$29,3,TRUE)*($G376+$I376)</f>
        <v>-0.42297786675319943</v>
      </c>
      <c r="K376" s="37"/>
      <c r="O376">
        <v>0</v>
      </c>
      <c r="P376" s="38">
        <f>VLOOKUP($C376,Profile!$B$5:$K$29,5,TRUE)*$O376</f>
        <v>0</v>
      </c>
      <c r="Q376">
        <f t="shared" si="22"/>
        <v>126.67305881078953</v>
      </c>
    </row>
    <row r="377" spans="1:17" x14ac:dyDescent="0.25">
      <c r="A377" s="1">
        <v>1.13194444444447</v>
      </c>
      <c r="B377">
        <f t="shared" si="21"/>
        <v>1870</v>
      </c>
      <c r="C377">
        <f t="shared" si="19"/>
        <v>190</v>
      </c>
      <c r="D377">
        <f>VLOOKUP($C377,Profile!$B$5:$K$29,2,TRUE)</f>
        <v>0.77</v>
      </c>
      <c r="E377" s="37">
        <f>VLOOKUP($C377,Profile!$B$5:$K$29,7,TRUE)</f>
        <v>0.71499999999999997</v>
      </c>
      <c r="F377">
        <f t="shared" si="20"/>
        <v>-4.5833333333333377E-3</v>
      </c>
      <c r="G377">
        <v>5.9642910415278931E-3</v>
      </c>
      <c r="H377" s="37"/>
      <c r="I377">
        <v>0</v>
      </c>
      <c r="J377" s="38">
        <f>-VLOOKUP($C377,Profile!$B$5:$K$29,3,TRUE)*($G377+$I377)</f>
        <v>-0.41750037290695252</v>
      </c>
      <c r="K377" s="37"/>
      <c r="O377">
        <v>0</v>
      </c>
      <c r="P377" s="38">
        <f>VLOOKUP($C377,Profile!$B$5:$K$29,5,TRUE)*$O377</f>
        <v>0</v>
      </c>
      <c r="Q377">
        <f t="shared" si="22"/>
        <v>126.25555843788257</v>
      </c>
    </row>
    <row r="378" spans="1:17" x14ac:dyDescent="0.25">
      <c r="A378" s="1">
        <v>1.1354166666666901</v>
      </c>
      <c r="B378">
        <f t="shared" si="21"/>
        <v>1875</v>
      </c>
      <c r="C378">
        <f t="shared" si="19"/>
        <v>195</v>
      </c>
      <c r="D378">
        <f>VLOOKUP($C378,Profile!$B$5:$K$29,2,TRUE)</f>
        <v>0.77</v>
      </c>
      <c r="E378" s="37">
        <f>VLOOKUP($C378,Profile!$B$5:$K$29,7,TRUE)</f>
        <v>0.71499999999999997</v>
      </c>
      <c r="F378">
        <f t="shared" si="20"/>
        <v>-4.5833333333333377E-3</v>
      </c>
      <c r="G378">
        <v>5.843032645838399E-3</v>
      </c>
      <c r="H378" s="37"/>
      <c r="I378">
        <v>0</v>
      </c>
      <c r="J378" s="38">
        <f>-VLOOKUP($C378,Profile!$B$5:$K$29,3,TRUE)*($G378+$I378)</f>
        <v>-0.40901228520868793</v>
      </c>
      <c r="K378" s="37"/>
      <c r="O378">
        <v>0</v>
      </c>
      <c r="P378" s="38">
        <f>VLOOKUP($C378,Profile!$B$5:$K$29,5,TRUE)*$O378</f>
        <v>0</v>
      </c>
      <c r="Q378">
        <f t="shared" si="22"/>
        <v>125.84654615267388</v>
      </c>
    </row>
    <row r="379" spans="1:17" x14ac:dyDescent="0.25">
      <c r="A379" s="1">
        <v>1.1388888888889099</v>
      </c>
      <c r="B379">
        <f t="shared" si="21"/>
        <v>1880</v>
      </c>
      <c r="C379">
        <f t="shared" si="19"/>
        <v>200</v>
      </c>
      <c r="D379">
        <f>VLOOKUP($C379,Profile!$B$5:$K$29,2,TRUE)</f>
        <v>0.77</v>
      </c>
      <c r="E379" s="37">
        <f>VLOOKUP($C379,Profile!$B$5:$K$29,7,TRUE)</f>
        <v>0.71499999999999997</v>
      </c>
      <c r="F379">
        <f t="shared" si="20"/>
        <v>-4.5833333333333377E-3</v>
      </c>
      <c r="G379">
        <v>5.6839679477420557E-3</v>
      </c>
      <c r="H379" s="37"/>
      <c r="I379">
        <v>0</v>
      </c>
      <c r="J379" s="38">
        <f>-VLOOKUP($C379,Profile!$B$5:$K$29,3,TRUE)*($G379+$I379)</f>
        <v>-0.39787775634194389</v>
      </c>
      <c r="K379" s="37"/>
      <c r="O379">
        <v>0</v>
      </c>
      <c r="P379" s="38">
        <f>VLOOKUP($C379,Profile!$B$5:$K$29,5,TRUE)*$O379</f>
        <v>0</v>
      </c>
      <c r="Q379">
        <f t="shared" si="22"/>
        <v>125.44866839633194</v>
      </c>
    </row>
    <row r="380" spans="1:17" x14ac:dyDescent="0.25">
      <c r="A380" s="1">
        <v>1.14236111111113</v>
      </c>
      <c r="B380">
        <f t="shared" si="21"/>
        <v>1885</v>
      </c>
      <c r="C380">
        <f t="shared" si="19"/>
        <v>205</v>
      </c>
      <c r="D380">
        <f>VLOOKUP($C380,Profile!$B$5:$K$29,2,TRUE)</f>
        <v>0.77</v>
      </c>
      <c r="E380" s="37">
        <f>VLOOKUP($C380,Profile!$B$5:$K$29,7,TRUE)</f>
        <v>0.71499999999999997</v>
      </c>
      <c r="F380">
        <f t="shared" si="20"/>
        <v>-4.5833333333333377E-3</v>
      </c>
      <c r="G380">
        <v>5.4918709464354563E-3</v>
      </c>
      <c r="H380" s="37"/>
      <c r="I380">
        <v>0</v>
      </c>
      <c r="J380" s="38">
        <f>-VLOOKUP($C380,Profile!$B$5:$K$29,3,TRUE)*($G380+$I380)</f>
        <v>-0.38443096625048195</v>
      </c>
      <c r="K380" s="37"/>
      <c r="O380">
        <v>0</v>
      </c>
      <c r="P380" s="38">
        <f>VLOOKUP($C380,Profile!$B$5:$K$29,5,TRUE)*$O380</f>
        <v>0</v>
      </c>
      <c r="Q380">
        <f t="shared" si="22"/>
        <v>125.06423743008146</v>
      </c>
    </row>
    <row r="381" spans="1:17" x14ac:dyDescent="0.25">
      <c r="A381" s="1">
        <v>1.1458333333333499</v>
      </c>
      <c r="B381">
        <f t="shared" si="21"/>
        <v>1890</v>
      </c>
      <c r="C381">
        <f t="shared" si="19"/>
        <v>210</v>
      </c>
      <c r="D381">
        <f>VLOOKUP($C381,Profile!$B$5:$K$29,2,TRUE)</f>
        <v>0.77</v>
      </c>
      <c r="E381" s="37">
        <f>VLOOKUP($C381,Profile!$B$5:$K$29,7,TRUE)</f>
        <v>0.71499999999999997</v>
      </c>
      <c r="F381">
        <f t="shared" si="20"/>
        <v>-4.5833333333333377E-3</v>
      </c>
      <c r="G381">
        <v>5.2711173406183214E-3</v>
      </c>
      <c r="H381" s="37"/>
      <c r="I381">
        <v>0</v>
      </c>
      <c r="J381" s="38">
        <f>-VLOOKUP($C381,Profile!$B$5:$K$29,3,TRUE)*($G381+$I381)</f>
        <v>-0.3689782138432825</v>
      </c>
      <c r="K381" s="37"/>
      <c r="O381">
        <v>0</v>
      </c>
      <c r="P381" s="38">
        <f>VLOOKUP($C381,Profile!$B$5:$K$29,5,TRUE)*$O381</f>
        <v>0</v>
      </c>
      <c r="Q381">
        <f t="shared" si="22"/>
        <v>124.69525921623818</v>
      </c>
    </row>
    <row r="382" spans="1:17" x14ac:dyDescent="0.25">
      <c r="A382" s="1">
        <v>1.14930555555557</v>
      </c>
      <c r="B382">
        <f t="shared" si="21"/>
        <v>1895</v>
      </c>
      <c r="C382">
        <f t="shared" si="19"/>
        <v>215</v>
      </c>
      <c r="D382">
        <f>VLOOKUP($C382,Profile!$B$5:$K$29,2,TRUE)</f>
        <v>0.77</v>
      </c>
      <c r="E382" s="37">
        <f>VLOOKUP($C382,Profile!$B$5:$K$29,7,TRUE)</f>
        <v>0.71499999999999997</v>
      </c>
      <c r="F382">
        <f t="shared" si="20"/>
        <v>-4.5833333333333377E-3</v>
      </c>
      <c r="G382">
        <v>5.0257125131471115E-3</v>
      </c>
      <c r="H382" s="37"/>
      <c r="I382">
        <v>0</v>
      </c>
      <c r="J382" s="38">
        <f>-VLOOKUP($C382,Profile!$B$5:$K$29,3,TRUE)*($G382+$I382)</f>
        <v>-0.35179987592029782</v>
      </c>
      <c r="K382" s="37"/>
      <c r="O382">
        <v>0</v>
      </c>
      <c r="P382" s="38">
        <f>VLOOKUP($C382,Profile!$B$5:$K$29,5,TRUE)*$O382</f>
        <v>0</v>
      </c>
      <c r="Q382">
        <f t="shared" si="22"/>
        <v>124.34345934031789</v>
      </c>
    </row>
    <row r="383" spans="1:17" x14ac:dyDescent="0.25">
      <c r="A383" s="1">
        <v>1.1527777777777899</v>
      </c>
      <c r="B383">
        <f t="shared" si="21"/>
        <v>1900</v>
      </c>
      <c r="C383">
        <f t="shared" si="19"/>
        <v>220</v>
      </c>
      <c r="D383">
        <f>VLOOKUP($C383,Profile!$B$5:$K$29,2,TRUE)</f>
        <v>0.77</v>
      </c>
      <c r="E383" s="37">
        <f>VLOOKUP($C383,Profile!$B$5:$K$29,7,TRUE)</f>
        <v>0.71499999999999997</v>
      </c>
      <c r="F383">
        <f t="shared" si="20"/>
        <v>-4.5833333333333377E-3</v>
      </c>
      <c r="G383">
        <v>4.7593177319865685E-3</v>
      </c>
      <c r="H383" s="37"/>
      <c r="I383">
        <v>0</v>
      </c>
      <c r="J383" s="38">
        <f>-VLOOKUP($C383,Profile!$B$5:$K$29,3,TRUE)*($G383+$I383)</f>
        <v>-0.33315224123905979</v>
      </c>
      <c r="K383" s="37"/>
      <c r="O383">
        <v>0</v>
      </c>
      <c r="P383" s="38">
        <f>VLOOKUP($C383,Profile!$B$5:$K$29,5,TRUE)*$O383</f>
        <v>0</v>
      </c>
      <c r="Q383">
        <f t="shared" si="22"/>
        <v>124.01030709907883</v>
      </c>
    </row>
    <row r="384" spans="1:17" x14ac:dyDescent="0.25">
      <c r="A384" s="1">
        <v>1.15625000000001</v>
      </c>
      <c r="B384">
        <f t="shared" si="21"/>
        <v>1905</v>
      </c>
      <c r="C384">
        <f t="shared" si="19"/>
        <v>225</v>
      </c>
      <c r="D384">
        <f>VLOOKUP($C384,Profile!$B$5:$K$29,2,TRUE)</f>
        <v>0.77</v>
      </c>
      <c r="E384" s="37">
        <f>VLOOKUP($C384,Profile!$B$5:$K$29,7,TRUE)</f>
        <v>0.71499999999999997</v>
      </c>
      <c r="F384">
        <f t="shared" si="20"/>
        <v>-4.5833333333333377E-3</v>
      </c>
      <c r="G384">
        <v>4.4752746741467866E-3</v>
      </c>
      <c r="H384" s="37"/>
      <c r="I384">
        <v>0</v>
      </c>
      <c r="J384" s="38">
        <f>-VLOOKUP($C384,Profile!$B$5:$K$29,3,TRUE)*($G384+$I384)</f>
        <v>-0.31326922719027506</v>
      </c>
      <c r="K384" s="37"/>
      <c r="O384">
        <v>0</v>
      </c>
      <c r="P384" s="38">
        <f>VLOOKUP($C384,Profile!$B$5:$K$29,5,TRUE)*$O384</f>
        <v>0</v>
      </c>
      <c r="Q384">
        <f t="shared" si="22"/>
        <v>123.69703787188855</v>
      </c>
    </row>
    <row r="385" spans="1:17" x14ac:dyDescent="0.25">
      <c r="A385" s="1">
        <v>1.1597222222222301</v>
      </c>
      <c r="B385">
        <f t="shared" si="21"/>
        <v>1910</v>
      </c>
      <c r="C385">
        <f t="shared" si="19"/>
        <v>230</v>
      </c>
      <c r="D385">
        <f>VLOOKUP($C385,Profile!$B$5:$K$29,2,TRUE)</f>
        <v>0.77</v>
      </c>
      <c r="E385" s="37">
        <f>VLOOKUP($C385,Profile!$B$5:$K$29,7,TRUE)</f>
        <v>0.71499999999999997</v>
      </c>
      <c r="F385">
        <f t="shared" si="20"/>
        <v>-4.5833333333333377E-3</v>
      </c>
      <c r="G385">
        <v>4.1766283731932237E-3</v>
      </c>
      <c r="H385" s="37"/>
      <c r="I385">
        <v>0</v>
      </c>
      <c r="J385" s="38">
        <f>-VLOOKUP($C385,Profile!$B$5:$K$29,3,TRUE)*($G385+$I385)</f>
        <v>-0.29236398612352565</v>
      </c>
      <c r="K385" s="37"/>
      <c r="O385">
        <v>0</v>
      </c>
      <c r="P385" s="38">
        <f>VLOOKUP($C385,Profile!$B$5:$K$29,5,TRUE)*$O385</f>
        <v>0</v>
      </c>
      <c r="Q385">
        <f t="shared" si="22"/>
        <v>123.40467388576504</v>
      </c>
    </row>
    <row r="386" spans="1:17" x14ac:dyDescent="0.25">
      <c r="A386" s="1">
        <v>1.16319444444445</v>
      </c>
      <c r="B386">
        <f t="shared" si="21"/>
        <v>1915</v>
      </c>
      <c r="C386">
        <f t="shared" si="19"/>
        <v>235</v>
      </c>
      <c r="D386">
        <f>VLOOKUP($C386,Profile!$B$5:$K$29,2,TRUE)</f>
        <v>0.77</v>
      </c>
      <c r="E386" s="37">
        <f>VLOOKUP($C386,Profile!$B$5:$K$29,7,TRUE)</f>
        <v>0.71499999999999997</v>
      </c>
      <c r="F386">
        <f t="shared" si="20"/>
        <v>-4.5833333333333377E-3</v>
      </c>
      <c r="G386">
        <v>3.8661486851540887E-3</v>
      </c>
      <c r="H386" s="37"/>
      <c r="I386">
        <v>0</v>
      </c>
      <c r="J386" s="38">
        <f>-VLOOKUP($C386,Profile!$B$5:$K$29,3,TRUE)*($G386+$I386)</f>
        <v>-0.27063040796078619</v>
      </c>
      <c r="K386" s="37"/>
      <c r="O386">
        <v>0</v>
      </c>
      <c r="P386" s="38">
        <f>VLOOKUP($C386,Profile!$B$5:$K$29,5,TRUE)*$O386</f>
        <v>0</v>
      </c>
      <c r="Q386">
        <f t="shared" si="22"/>
        <v>123.13404347780425</v>
      </c>
    </row>
    <row r="387" spans="1:17" x14ac:dyDescent="0.25">
      <c r="A387" s="1">
        <v>1.1666666666666701</v>
      </c>
      <c r="B387">
        <f t="shared" si="21"/>
        <v>1920</v>
      </c>
      <c r="C387">
        <f t="shared" si="19"/>
        <v>240</v>
      </c>
      <c r="D387">
        <f>VLOOKUP($C387,Profile!$B$5:$K$29,2,TRUE)</f>
        <v>0.78</v>
      </c>
      <c r="E387" s="37">
        <f>VLOOKUP($C387,Profile!$B$5:$K$29,7,TRUE)</f>
        <v>0.71499999999999997</v>
      </c>
      <c r="F387">
        <f t="shared" si="20"/>
        <v>-5.4166666666666712E-3</v>
      </c>
      <c r="G387">
        <v>3.5463503622056168E-3</v>
      </c>
      <c r="H387" s="37"/>
      <c r="I387">
        <v>0</v>
      </c>
      <c r="J387" s="38">
        <f>-VLOOKUP($C387,Profile!$B$5:$K$29,3,TRUE)*($G387+$I387)</f>
        <v>-0.24824452535439318</v>
      </c>
      <c r="K387" s="37"/>
      <c r="O387">
        <v>0</v>
      </c>
      <c r="P387" s="38">
        <f>VLOOKUP($C387,Profile!$B$5:$K$29,5,TRUE)*$O387</f>
        <v>0</v>
      </c>
      <c r="Q387">
        <f t="shared" si="22"/>
        <v>122.88579895244986</v>
      </c>
    </row>
    <row r="388" spans="1:17" x14ac:dyDescent="0.25">
      <c r="A388" s="1"/>
      <c r="G388">
        <v>0</v>
      </c>
      <c r="I388">
        <v>0</v>
      </c>
      <c r="J388" s="38">
        <f>-VLOOKUP($C388,Profile!$B$5:$K$29,3,TRUE)*($G388+$I388)</f>
        <v>0</v>
      </c>
      <c r="K388" s="38"/>
      <c r="O388">
        <v>0</v>
      </c>
    </row>
    <row r="389" spans="1:17" x14ac:dyDescent="0.25">
      <c r="A389" s="1"/>
    </row>
    <row r="390" spans="1:17" x14ac:dyDescent="0.25">
      <c r="A390" s="1"/>
    </row>
    <row r="391" spans="1:17" x14ac:dyDescent="0.25">
      <c r="A391" s="1"/>
    </row>
    <row r="392" spans="1:17" x14ac:dyDescent="0.25">
      <c r="A392" s="1"/>
    </row>
    <row r="393" spans="1:17" x14ac:dyDescent="0.25">
      <c r="A393" s="1"/>
    </row>
    <row r="394" spans="1:17" x14ac:dyDescent="0.25">
      <c r="A394" s="1"/>
    </row>
    <row r="395" spans="1:17" x14ac:dyDescent="0.25">
      <c r="A395" s="1"/>
    </row>
    <row r="396" spans="1:17" x14ac:dyDescent="0.25">
      <c r="A396" s="1"/>
    </row>
    <row r="397" spans="1:17" x14ac:dyDescent="0.25">
      <c r="A397" s="1"/>
    </row>
    <row r="398" spans="1:17" x14ac:dyDescent="0.25">
      <c r="A398" s="1"/>
    </row>
    <row r="399" spans="1:17" x14ac:dyDescent="0.25">
      <c r="A399" s="1"/>
    </row>
    <row r="400" spans="1:17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</sheetData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basalActivit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BolusActivity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CarbActivity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3"/>
  <sheetViews>
    <sheetView workbookViewId="0">
      <selection activeCell="B2" sqref="B2"/>
    </sheetView>
  </sheetViews>
  <sheetFormatPr baseColWidth="10" defaultRowHeight="15" x14ac:dyDescent="0.25"/>
  <sheetData>
    <row r="1" spans="1:2" x14ac:dyDescent="0.25">
      <c r="A1" t="s">
        <v>4</v>
      </c>
      <c r="B1" s="1">
        <v>4.1666666666666664E-2</v>
      </c>
    </row>
    <row r="2" spans="1:2" x14ac:dyDescent="0.25">
      <c r="A2" t="s">
        <v>15</v>
      </c>
      <c r="B2" s="1">
        <v>6.9444444444444447E-4</v>
      </c>
    </row>
    <row r="3" spans="1:2" x14ac:dyDescent="0.25">
      <c r="A3" t="s">
        <v>16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10</vt:i4>
      </vt:variant>
    </vt:vector>
  </HeadingPairs>
  <TitlesOfParts>
    <vt:vector size="13" baseType="lpstr">
      <vt:lpstr>Profile</vt:lpstr>
      <vt:lpstr>DataSet</vt:lpstr>
      <vt:lpstr>Const</vt:lpstr>
      <vt:lpstr>BasalActivity</vt:lpstr>
      <vt:lpstr>BolusActivity</vt:lpstr>
      <vt:lpstr>CarbActivity</vt:lpstr>
      <vt:lpstr>DIA</vt:lpstr>
      <vt:lpstr>Hour</vt:lpstr>
      <vt:lpstr>MealDuration</vt:lpstr>
      <vt:lpstr>MealPeak</vt:lpstr>
      <vt:lpstr>Minute</vt:lpstr>
      <vt:lpstr>Peak</vt:lpstr>
      <vt:lpstr>tp</vt:lpstr>
    </vt:vector>
  </TitlesOfParts>
  <Company>PSA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PHILIPPE LEGOUPIL - P927735</dc:creator>
  <cp:lastModifiedBy>Titi</cp:lastModifiedBy>
  <dcterms:created xsi:type="dcterms:W3CDTF">2020-05-26T15:54:55Z</dcterms:created>
  <dcterms:modified xsi:type="dcterms:W3CDTF">2020-05-27T13:27:59Z</dcterms:modified>
</cp:coreProperties>
</file>